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77f5ee194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NEC_central" sheetId="1" r:id="R2365907e58d74104"/>
    <x:sheet xmlns:r="http://schemas.openxmlformats.org/officeDocument/2006/relationships" name="Escenarios_literatura" sheetId="2" r:id="R760669618c3e478d"/>
    <x:sheet xmlns:r="http://schemas.openxmlformats.org/officeDocument/2006/relationships" name="Evidencia_fuente" sheetId="3" r:id="R06b5ddb83a3c4c36"/>
    <x:sheet xmlns:r="http://schemas.openxmlformats.org/officeDocument/2006/relationships" name="Diccionario" sheetId="4" r:id="Rccc520d2baa64783"/>
    <x:sheet xmlns:r="http://schemas.openxmlformats.org/officeDocument/2006/relationships" name="Meta_nonadvanced" sheetId="5" r:id="R959efe49fac3478d"/>
    <x:sheet xmlns:r="http://schemas.openxmlformats.org/officeDocument/2006/relationships" name="Prevalence_nonadvanced" sheetId="6" r:id="R1e1d7d62e1e848d3"/>
    <x:sheet xmlns:r="http://schemas.openxmlformats.org/officeDocument/2006/relationships" name="Meta_any_adenoma" sheetId="7" r:id="Ra1d8fb3164fa4412"/>
    <x:sheet xmlns:r="http://schemas.openxmlformats.org/officeDocument/2006/relationships" name="Prevalence_all_lesions" sheetId="8" r:id="R370b6b7edd2241e8"/>
    <x:sheet xmlns:r="http://schemas.openxmlformats.org/officeDocument/2006/relationships" name="Adjusted_detection_all" sheetId="9" r:id="R3cb6dadeeaff4c7c"/>
    <x:sheet xmlns:r="http://schemas.openxmlformats.org/officeDocument/2006/relationships" name="ADR_any_adenoma" sheetId="10" r:id="R217669166fd34713"/>
    <x:sheet xmlns:r="http://schemas.openxmlformats.org/officeDocument/2006/relationships" name="Figures_any_adenoma" sheetId="11" r:id="R5727feb6f307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000"/>
    <x:numFmt numFmtId="201" formatCode="#,##0"/>
    <x:numFmt numFmtId="202" formatCode="0"/>
    <x:numFmt numFmtId="203" formatCode="0.00%"/>
    <x:numFmt numFmtId="204" formatCode="0.0"/>
    <x:numFmt numFmtId="205" formatCode="0.0%"/>
    <x:numFmt numFmtId="206" formatCode="0.0000"/>
    <x:numFmt numFmtId="207" formatCode="0.00"/>
    <x:numFmt numFmtId="208" formatCode="0.##"/>
    <x:numFmt numFmtId="209" formatCode="General"/>
  </x:numFmts>
  <x:fonts count="15">
    <x:font>
      <x:sz val="11"/>
      <x:name val="Carlito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i/>
      <x:sz val="10"/>
      <x:color rgb="FF44546A"/>
      <x:name val="Arial"/>
    </x:font>
    <x:font>
      <x:b/>
      <x:sz val="11"/>
      <x:color rgb="FFFFFFFF"/>
      <x:name val="Arial"/>
    </x:font>
    <x:font>
      <x:sz val="10"/>
      <x:color rgb="FF44546A"/>
      <x:name val="Arial"/>
    </x:font>
    <x:font>
      <x:b/>
      <x:sz val="14"/>
      <x:color rgb="FFFFFFFF"/>
      <x:name val="Arial"/>
    </x:font>
    <x:font>
      <x:i/>
      <x:sz val="10"/>
      <x:color rgb="FF7F6000"/>
      <x:name val="Arial"/>
    </x:font>
    <x:font>
      <x:b/>
      <x:sz val="16"/>
      <x:color rgb="FFFFFFFF"/>
      <x:name val="Arial"/>
    </x:font>
    <x:font>
      <x:i/>
      <x:sz val="10"/>
      <x:color rgb="FF334E68"/>
      <x:name val="Arial"/>
    </x:font>
    <x:font>
      <x:sz val="10"/>
      <x:color rgb="FF334E68"/>
      <x:name val="Arial"/>
    </x:font>
    <x:font>
      <x:sz val="11"/>
      <x:name val="Arial"/>
    </x:font>
    <x:font>
      <x:i/>
      <x:sz val="10"/>
      <x:color rgb="FF806000"/>
      <x:name val="Arial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BDDD"/>
      </x:left>
      <x:right style="thin">
        <x:color rgb="FF7FBDDD"/>
      </x:right>
      <x:top style="thin">
        <x:color rgb="FF7FBDDD"/>
      </x:top>
      <x:bottom style="thin">
        <x:color rgb="FF7FBDDD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4" fontId="0" fillId="7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/>
    <x:xf numFmtId="0" fontId="6" fillId="10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4" xfId="0" applyNumberFormat="1" applyFont="1" applyFill="1" applyBorder="1"/>
    <x:xf numFmtId="0" fontId="1" fillId="8" borderId="4" xfId="0" applyNumberFormat="1" applyFont="1" applyFill="1" applyBorder="1" applyAlignment="1">
      <x:alignment wrapText="1"/>
    </x:xf>
    <x:xf numFmtId="0" fontId="1" fillId="8" borderId="4" xfId="0" applyNumberFormat="1" applyFont="1" applyFill="1" applyBorder="1" applyAlignment="1">
      <x:alignment horizont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5" fontId="3" fillId="0" borderId="5" xfId="0" applyNumberFormat="1" applyFont="1" applyFill="1" applyBorder="1" applyAlignment="1">
      <x:alignment vertical="center"/>
    </x:xf>
    <x:xf numFmtId="205" fontId="3" fillId="0" borderId="6" xfId="0" applyNumberFormat="1" applyFont="1" applyFill="1" applyBorder="1" applyAlignment="1">
      <x:alignment vertical="center"/>
    </x:xf>
    <x:xf numFmtId="205" fontId="3" fillId="0" borderId="7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203" fontId="3" fillId="0" borderId="5" xfId="0" applyNumberFormat="1" applyFont="1" applyFill="1" applyBorder="1" applyAlignment="1">
      <x:alignment vertical="top" wrapText="1"/>
    </x:xf>
    <x:xf numFmtId="203" fontId="3" fillId="0" borderId="6" xfId="0" applyNumberFormat="1" applyFont="1" applyFill="1" applyBorder="1" applyAlignment="1">
      <x:alignment vertical="top" wrapText="1"/>
    </x:xf>
    <x:xf numFmtId="205" fontId="3" fillId="0" borderId="6" xfId="0" applyNumberFormat="1" applyFont="1" applyFill="1" applyBorder="1" applyAlignment="1">
      <x:alignment vertical="top" wrapText="1"/>
    </x:xf>
    <x:xf numFmtId="203" fontId="2" fillId="7" borderId="8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6" fontId="3" fillId="0" borderId="6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/>
    <x:xf numFmtId="0" fontId="3" fillId="0" borderId="8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3" fillId="0" borderId="8" xfId="0" applyNumberFormat="1" applyFont="1" applyFill="1" applyBorder="1" applyAlignment="1">
      <x:alignment vertical="center"/>
    </x:xf>
    <x:xf numFmtId="207" fontId="3" fillId="0" borderId="5" xfId="0" applyNumberFormat="1" applyFont="1" applyFill="1" applyBorder="1" applyAlignment="1">
      <x:alignment vertical="center"/>
    </x:xf>
    <x:xf numFmtId="207" fontId="3" fillId="0" borderId="6" xfId="0" applyNumberFormat="1" applyFont="1" applyFill="1" applyBorder="1" applyAlignment="1">
      <x:alignment vertical="center"/>
    </x:xf>
    <x:xf numFmtId="207" fontId="3" fillId="0" borderId="8" xfId="0" applyNumberFormat="1" applyFont="1" applyFill="1" applyBorder="1" applyAlignment="1">
      <x:alignment vertical="center"/>
    </x:xf>
    <x:xf numFmtId="203" fontId="3" fillId="7" borderId="5" xfId="0" applyNumberFormat="1" applyFont="1" applyFill="1" applyBorder="1" applyAlignment="1">
      <x:alignment vertical="center"/>
    </x:xf>
    <x:xf numFmtId="207" fontId="3" fillId="7" borderId="5" xfId="0" applyNumberFormat="1" applyFont="1" applyFill="1" applyBorder="1" applyAlignment="1">
      <x:alignment vertical="center"/>
    </x:xf>
    <x:xf numFmtId="203" fontId="3" fillId="7" borderId="6" xfId="0" applyNumberFormat="1" applyFont="1" applyFill="1" applyBorder="1" applyAlignment="1">
      <x:alignment vertical="center"/>
    </x:xf>
    <x:xf numFmtId="207" fontId="3" fillId="7" borderId="6" xfId="0" applyNumberFormat="1" applyFont="1" applyFill="1" applyBorder="1" applyAlignment="1">
      <x:alignment vertical="center"/>
    </x:xf>
    <x:xf numFmtId="203" fontId="3" fillId="7" borderId="8" xfId="0" applyNumberFormat="1" applyFont="1" applyFill="1" applyBorder="1" applyAlignment="1">
      <x:alignment vertical="center"/>
    </x:xf>
    <x:xf numFmtId="207" fontId="3" fillId="7" borderId="8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205" fontId="12" fillId="0" borderId="0" xfId="0" applyNumberFormat="1" applyFont="1" applyFill="1" applyBorder="1"/>
    <x:xf numFmtId="207" fontId="12" fillId="0" borderId="0" xfId="0" applyNumberFormat="1" applyFont="1" applyFill="1" applyBorder="1"/>
    <x:xf numFmtId="0" fontId="12" fillId="0" borderId="9" xfId="0" applyNumberFormat="1" applyFont="1" applyFill="1" applyBorder="1"/>
    <x:xf numFmtId="0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2" xfId="0" applyNumberFormat="1" applyFont="1" applyFill="1" applyBorder="1"/>
    <x:xf numFmtId="0" fontId="12" fillId="0" borderId="13" xfId="0" applyNumberFormat="1" applyFont="1" applyFill="1" applyBorder="1"/>
    <x:xf numFmtId="0" fontId="12" fillId="0" borderId="14" xfId="0" applyNumberFormat="1" applyFont="1" applyFill="1" applyBorder="1"/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7" xfId="0" applyNumberFormat="1" applyFont="1" applyFill="1" applyBorder="1"/>
    <x:xf numFmtId="0" fontId="12" fillId="0" borderId="9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0" fontId="12" fillId="0" borderId="14" xfId="0" applyNumberFormat="1" applyFont="1" applyFill="1" applyBorder="1" applyAlignment="1">
      <x:alignment wrapText="1"/>
    </x:xf>
    <x:xf numFmtId="0" fontId="12" fillId="0" borderId="15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wrapText="1"/>
    </x:xf>
    <x:xf numFmtId="0" fontId="12" fillId="0" borderId="17" xfId="0" applyNumberFormat="1" applyFont="1" applyFill="1" applyBorder="1" applyAlignment="1">
      <x:alignment wrapText="1"/>
    </x:xf>
    <x:xf numFmtId="203" fontId="12" fillId="0" borderId="10" xfId="0" applyNumberFormat="1" applyFont="1" applyFill="1" applyBorder="1" applyAlignment="1">
      <x:alignment wrapText="1"/>
    </x:xf>
    <x:xf numFmtId="203" fontId="12" fillId="0" borderId="13" xfId="0" applyNumberFormat="1" applyFont="1" applyFill="1" applyBorder="1" applyAlignment="1">
      <x:alignment wrapText="1"/>
    </x:xf>
    <x:xf numFmtId="205" fontId="12" fillId="0" borderId="13" xfId="0" applyNumberFormat="1" applyFont="1" applyFill="1" applyBorder="1" applyAlignment="1">
      <x:alignment wrapText="1"/>
    </x:xf>
    <x:xf numFmtId="203" fontId="12" fillId="0" borderId="16" xfId="0" applyNumberFormat="1" applyFont="1" applyFill="1" applyBorder="1" applyAlignment="1">
      <x:alignment wrapText="1"/>
    </x:xf>
    <x:xf numFmtId="0" fontId="12" fillId="17" borderId="15" xfId="0" applyNumberFormat="1" applyFont="1" applyFill="1" applyBorder="1" applyAlignment="1">
      <x:alignment wrapText="1"/>
    </x:xf>
    <x:xf numFmtId="203" fontId="12" fillId="17" borderId="16" xfId="0" applyNumberFormat="1" applyFont="1" applyFill="1" applyBorder="1" applyAlignment="1">
      <x:alignment wrapText="1"/>
    </x:xf>
    <x:xf numFmtId="0" fontId="12" fillId="17" borderId="17" xfId="0" applyNumberFormat="1" applyFont="1" applyFill="1" applyBorder="1" applyAlignment="1">
      <x:alignment wrapText="1"/>
    </x:xf>
    <x:xf numFmtId="0" fontId="2" fillId="17" borderId="15" xfId="0" applyNumberFormat="1" applyFont="1" applyFill="1" applyBorder="1" applyAlignment="1">
      <x:alignment wrapText="1"/>
    </x:xf>
    <x:xf numFmtId="203" fontId="2" fillId="17" borderId="16" xfId="0" applyNumberFormat="1" applyFont="1" applyFill="1" applyBorder="1" applyAlignment="1">
      <x:alignment wrapText="1"/>
    </x:xf>
    <x:xf numFmtId="0" fontId="2" fillId="17" borderId="17" xfId="0" applyNumberFormat="1" applyFont="1" applyFill="1" applyBorder="1" applyAlignment="1">
      <x:alignment wrapText="1"/>
    </x:xf>
    <x:xf numFmtId="0" fontId="2" fillId="17" borderId="18" xfId="0" applyNumberFormat="1" applyFont="1" applyFill="1" applyBorder="1" applyAlignment="1">
      <x:alignment wrapText="1"/>
    </x:xf>
    <x:xf numFmtId="203" fontId="2" fillId="17" borderId="18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12" fillId="18" borderId="0" xfId="0" applyNumberFormat="1" applyFont="1" applyFill="1" applyBorder="1" applyAlignment="1">
      <x:alignment wrapText="1"/>
    </x:xf>
    <x:xf numFmtId="0" fontId="12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10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203" fontId="12" fillId="0" borderId="0" xfId="0" applyNumberFormat="1" applyFont="1" applyFill="1" applyBorder="1"/>
    <x:xf numFmtId="203" fontId="12" fillId="22" borderId="0" xfId="0" applyNumberFormat="1" applyFont="1" applyFill="1" applyBorder="1"/>
    <x:xf numFmtId="207" fontId="12" fillId="22" borderId="0" xfId="0" applyNumberFormat="1" applyFont="1" applyFill="1" applyBorder="1"/>
    <x:xf numFmtId="0" fontId="0" fillId="23" borderId="0" xfId="0" applyNumberFormat="1" applyFont="1" applyFill="1" applyBorder="1"/>
    <x:xf numFmtId="0" fontId="14" fillId="23" borderId="0" xfId="0" applyNumberFormat="1" applyFont="1" applyFill="1" applyBorder="1"/>
    <x:xf numFmtId="0" fontId="14" fillId="23" borderId="0" xfId="0" applyNumberFormat="1" applyFont="1" applyFill="1" applyBorder="1" applyAlignment="1">
      <x:alignment wrapText="1"/>
    </x:xf>
    <x:xf numFmtId="0" fontId="14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wrapText="1"/>
    </x:xf>
    <x:xf numFmtId="0" fontId="12" fillId="2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2" fillId="0" borderId="14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13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horizontal="center" wrapText="1"/>
    </x:xf>
    <x:xf numFmtId="208" fontId="12" fillId="0" borderId="0" xfId="0" applyNumberFormat="1" applyFont="1" applyFill="1" applyBorder="1"/>
    <x:xf numFmtId="0" fontId="1" fillId="26" borderId="0" xfId="0" applyNumberFormat="1" applyFont="1" applyFill="1" applyBorder="1" applyAlignment="1">
      <x:alignment horizontal="center" vertical="center" wrapText="1"/>
    </x:xf>
    <x:xf numFmtId="209" fontId="12" fillId="0" borderId="0" xfId="0" applyNumberFormat="1" applyFont="1" applyFill="1" applyBorder="1"/>
    <x:xf numFmtId="0" fontId="0" fillId="27" borderId="0" xfId="0" applyNumberFormat="1" applyFont="1" applyFill="1" applyBorder="1"/>
    <x:xf numFmtId="0" fontId="10" fillId="27" borderId="0" xfId="0" applyNumberFormat="1" applyFont="1" applyFill="1" applyBorder="1"/>
    <x:xf numFmtId="0" fontId="10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11" fillId="28" borderId="0" xfId="0" applyNumberFormat="1" applyFont="1" applyFill="1" applyBorder="1"/>
    <x:xf numFmtId="0" fontId="11" fillId="28" borderId="0" xfId="0" applyNumberFormat="1" applyFont="1" applyFill="1" applyBorder="1" applyAlignment="1">
      <x:alignment wrapText="1"/>
    </x:xf>
    <x:xf numFmtId="0" fontId="11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4" fillId="3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7041b1a6e44e4" /><Relationship Type="http://schemas.openxmlformats.org/officeDocument/2006/relationships/theme" Target="/xl/theme/theme1.xml" Id="Rfa3f4e4bbe1f4b92" /><Relationship Type="http://schemas.microsoft.com/office/2022/11/relationships/FeaturePropertyBag" Target="/xl/featurePropertyBag/featurePropertyBag.xml" Id="R411ead738dcb4cc7" /><Relationship Type="http://schemas.openxmlformats.org/officeDocument/2006/relationships/sharedStrings" Target="/xl/sharedStrings.xml" Id="Rfec7591bb2194c6c" /><Relationship Type="http://schemas.openxmlformats.org/officeDocument/2006/relationships/worksheet" Target="/xl/worksheets/sheet1.xml" Id="R2365907e58d74104" /><Relationship Type="http://schemas.openxmlformats.org/officeDocument/2006/relationships/worksheet" Target="/xl/worksheets/sheet2.xml" Id="R760669618c3e478d" /><Relationship Type="http://schemas.openxmlformats.org/officeDocument/2006/relationships/worksheet" Target="/xl/worksheets/sheet3.xml" Id="R06b5ddb83a3c4c36" /><Relationship Type="http://schemas.openxmlformats.org/officeDocument/2006/relationships/worksheet" Target="/xl/worksheets/sheet4.xml" Id="Rccc520d2baa64783" /><Relationship Type="http://schemas.openxmlformats.org/officeDocument/2006/relationships/worksheet" Target="/xl/worksheets/sheet5.xml" Id="R959efe49fac3478d" /><Relationship Type="http://schemas.openxmlformats.org/officeDocument/2006/relationships/worksheet" Target="/xl/worksheets/sheet6.xml" Id="R1e1d7d62e1e848d3" /><Relationship Type="http://schemas.openxmlformats.org/officeDocument/2006/relationships/worksheet" Target="/xl/worksheets/sheet7.xml" Id="Ra1d8fb3164fa4412" /><Relationship Type="http://schemas.openxmlformats.org/officeDocument/2006/relationships/worksheet" Target="/xl/worksheets/sheet8.xml" Id="R370b6b7edd2241e8" /><Relationship Type="http://schemas.openxmlformats.org/officeDocument/2006/relationships/worksheet" Target="/xl/worksheets/sheet9.xml" Id="R3cb6dadeeaff4c7c" /><Relationship Type="http://schemas.openxmlformats.org/officeDocument/2006/relationships/worksheet" Target="/xl/worksheets/sheet10.xml" Id="R217669166fd34713" /><Relationship Type="http://schemas.openxmlformats.org/officeDocument/2006/relationships/worksheet" Target="/xl/worksheets/sheet11.xml" Id="R5727feb6f3074d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f30cc7b0d344b41" /><Relationship Type="http://schemas.openxmlformats.org/officeDocument/2006/relationships/image" Target="/xl/media/image2.png" Id="R46d83f12e0e74dbb" /><Relationship Type="http://schemas.openxmlformats.org/officeDocument/2006/relationships/image" Target="/xl/media/image3.png" Id="R50b360cc256b458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0477500" cy="45243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30cc7b0d344b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10477500" cy="45243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83f12e0e74d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58</xdr:row>
      <xdr:rowOff>0</xdr:rowOff>
    </xdr:from>
    <xdr:ext cx="10477500" cy="4524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360cc256b45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ametrosFITCentral" displayName="ParametrosFITCentral" ref="A1:N8" headerRowCount="1" totalsRowCount="0" totalsRowShown="0">
  <x:tableColumns count="14">
    <x:tableColumn id="1" name="lesion_key"/>
    <x:tableColumn id="2" name="lesion_label"/>
    <x:tableColumn id="3" name="positives"/>
    <x:tableColumn id="4" name="n_cases"/>
    <x:tableColumn id="5" name="estimate"/>
    <x:tableColumn id="6" name="ci_lower_wilson"/>
    <x:tableColumn id="7" name="ci_upper_wilson"/>
    <x:tableColumn id="8" name="beta_a"/>
    <x:tableColumn id="9" name="beta_b"/>
    <x:tableColumn id="10" name="prior_added_in_simulation"/>
    <x:tableColumn id="11" name="distribution"/>
    <x:tableColumn id="12" name="seed"/>
    <x:tableColumn id="13" name="source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cenariosFITLiteratura" displayName="EscenariosFITLiteratura" ref="A1:Q12" headerRowCount="1" totalsRowCount="0" totalsRowShown="0">
  <x:tableColumns count="17">
    <x:tableColumn id="1" name="scenario_id"/>
    <x:tableColumn id="2" name="scenario_label"/>
    <x:tableColumn id="3" name="lesion_key"/>
    <x:tableColumn id="4" name="estimate"/>
    <x:tableColumn id="5" name="ci_lower"/>
    <x:tableColumn id="6" name="ci_upper"/>
    <x:tableColumn id="7" name="beta_a"/>
    <x:tableColumn id="8" name="beta_b"/>
    <x:tableColumn id="9" name="n_effective"/>
    <x:tableColumn id="10" name="distribution"/>
    <x:tableColumn id="11" name="logit_mean"/>
    <x:tableColumn id="12" name="logit_se"/>
    <x:tableColumn id="13" name="prior_added_in_simulation"/>
    <x:tableColumn id="14" name="active"/>
    <x:tableColumn id="15" name="source_id"/>
    <x:tableColumn id="16" name="citation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iaFIT" displayName="EvidenciaFIT" ref="A1:H6" headerRowCount="1" totalsRowCount="0" totalsRowShown="0">
  <x:tableColumns count="8">
    <x:tableColumn id="1" name="source_id"/>
    <x:tableColumn id="2" name="citation"/>
    <x:tableColumn id="3" name="population"/>
    <x:tableColumn id="4" name="fit_threshold"/>
    <x:tableColumn id="5" name="analysis_unit"/>
    <x:tableColumn id="6" name="model"/>
    <x:tableColumn id="7" name="use_in_model"/>
    <x:tableColumn id="8" name="limit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cionarioFIT" displayName="DiccionarioFIT" ref="A1:B18" headerRowCount="1" totalsRowCount="0" totalsRowShown="0">
  <x:tableColumns count="2">
    <x:tableColumn id="1" name="Campo/concepto"/>
    <x:tableColumn id="2" name="Definic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aNonAdvancedStudies" displayName="MetaNonAdvancedStudies" ref="A5:H9" headerRowCount="1" totalsRowCount="0" totalsRowShown="0">
  <x:tableColumns count="8">
    <x:tableColumn id="1" name="Study"/>
    <x:tableColumn id="2" name="Cut-off (ng/mL)"/>
    <x:tableColumn id="3" name="TP"/>
    <x:tableColumn id="4" name="FN"/>
    <x:tableColumn id="5" name="Total cases"/>
    <x:tableColumn id="6" name="Sensitivity"/>
    <x:tableColumn id="7" name="Wilson 95% lower"/>
    <x:tableColumn id="8" name="Wilson 95% upp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aNonAdvancedSummary" displayName="MetaNonAdvancedSummary" ref="A13:E20" headerRowCount="1" totalsRowCount="0" totalsRowShown="0">
  <x:tableColumns count="5">
    <x:tableColumn id="1" name="Metric"/>
    <x:tableColumn id="2" name="Estimate"/>
    <x:tableColumn id="3" name="Lower 95%"/>
    <x:tableColumn id="4" name="Upper 95%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evalenceNonAdvancedResults" displayName="PrevalenceNonAdvancedResults" ref="A4:M10" headerRowCount="1" totalsRowCount="0" totalsRowShown="0">
  <x:tableColumns count="13">
    <x:tableColumn id="1" name="Analysis"/>
    <x:tableColumn id="2" name="Base"/>
    <x:tableColumn id="3" name="Sex"/>
    <x:tableColumn id="4" name="Population"/>
    <x:tableColumn id="5" name="PRENEC mean"/>
    <x:tableColumn id="6" name="PRENEC 95% UI lower"/>
    <x:tableColumn id="7" name="PRENEC 95% UI upper"/>
    <x:tableColumn id="8" name="Literature mean"/>
    <x:tableColumn id="9" name="Literature 95% UI lower"/>
    <x:tableColumn id="10" name="Literature 95% UI upper"/>
    <x:tableColumn id="11" name="Change (pp)"/>
    <x:tableColumn id="12" name="Change lower (pp)"/>
    <x:tableColumn id="13" name="Change upper (pp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nyAdenomaStudyInputs" displayName="AnyAdenomaStudyInputs" ref="A5:I9" headerRowCount="1" totalsRowCount="0" totalsRowShown="0">
  <x:tableColumns count="9">
    <x:tableColumn id="1" name="Study"/>
    <x:tableColumn id="2" name="Cut-off (ng/mL)"/>
    <x:tableColumn id="3" name="TP"/>
    <x:tableColumn id="4" name="FN"/>
    <x:tableColumn id="5" name="Total cases"/>
    <x:tableColumn id="6" name="Sensitivity"/>
    <x:tableColumn id="7" name="Wilson 95% lower"/>
    <x:tableColumn id="8" name="Wilson 95% upper"/>
    <x:tableColumn id="9" name="Count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llLesionPrevalenceResults" displayName="AllLesionPrevalenceResults" ref="A4:N58" headerRowCount="1" totalsRowCount="0" totalsRowShown="0">
  <x:tableColumns count="14">
    <x:tableColumn id="1" name="Analysis"/>
    <x:tableColumn id="2" name="Base"/>
    <x:tableColumn id="3" name="Sex"/>
    <x:tableColumn id="4" name="Lesion category"/>
    <x:tableColumn id="5" name="Population"/>
    <x:tableColumn id="6" name="PRENEC mean"/>
    <x:tableColumn id="7" name="PRENEC 95% UI lower"/>
    <x:tableColumn id="8" name="PRENEC 95% UI upper"/>
    <x:tableColumn id="9" name="Literature mean"/>
    <x:tableColumn id="10" name="Literature 95% UI lower"/>
    <x:tableColumn id="11" name="Literature 95% UI upper"/>
    <x:tableColumn id="12" name="Change (pp)"/>
    <x:tableColumn id="13" name="Change lower (pp)"/>
    <x:tableColumn id="14" name="Change upper (pp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llLesionAdjustedDetection" displayName="AllLesionAdjustedDetection" ref="A4:N58" headerRowCount="1" totalsRowCount="0" totalsRowShown="0">
  <x:tableColumns count="14">
    <x:tableColumn id="1" name="Analysis"/>
    <x:tableColumn id="2" name="Base"/>
    <x:tableColumn id="3" name="Sex"/>
    <x:tableColumn id="4" name="Lesion category"/>
    <x:tableColumn id="5" name="Population"/>
    <x:tableColumn id="6" name="PRENEC mean"/>
    <x:tableColumn id="7" name="PRENEC 95% UI lower"/>
    <x:tableColumn id="8" name="PRENEC 95% UI upper"/>
    <x:tableColumn id="9" name="Literature mean"/>
    <x:tableColumn id="10" name="Literature 95% UI lower"/>
    <x:tableColumn id="11" name="Literature 95% UI upper"/>
    <x:tableColumn id="12" name="Change (pp)"/>
    <x:tableColumn id="13" name="Change lower (pp)"/>
    <x:tableColumn id="14" name="Change upper (pp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nyAdenomaDetectionRate" displayName="AnyAdenomaDetectionRate" ref="A4:J10" headerRowCount="1" totalsRowCount="0" totalsRowShown="0">
  <x:tableColumns count="10">
    <x:tableColumn id="1" name="Analysis"/>
    <x:tableColumn id="2" name="Base"/>
    <x:tableColumn id="3" name="Sex"/>
    <x:tableColumn id="4" name="Population"/>
    <x:tableColumn id="5" name="Adenomas detected"/>
    <x:tableColumn id="6" name="Completed colonoscopies"/>
    <x:tableColumn id="7" name="ADR"/>
    <x:tableColumn id="8" name="ADR 95% CI lower"/>
    <x:tableColumn id="9" name="ADR 95% CI upper"/>
    <x:tableColumn id="10" name="Observed program y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7f9b9dee204d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4d9859bdc24a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728f5759814c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19839330cc44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43da66bd3b4ce0" /><Relationship Type="http://schemas.openxmlformats.org/officeDocument/2006/relationships/table" Target="/xl/tables/table6.xml" Id="R20a305ec6e6e4a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2b729efa4934c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c96689cb5f664a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aaed4d6b6e546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98baa5c9c17440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78a597b3282544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7ce5fd00641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3" hidden="0" customWidth="1"/>
    <x:col min="13" max="13" width="48" hidden="0" customWidth="1"/>
    <x:col min="14" max="14" width="72" hidden="0" customWidth="1"/>
  </x:cols>
  <x:sheetData>
    <x:row r="1" ht="44" customHeight="1">
      <x:c r="A1" s="26" t="str">
        <x:v>lesion_key</x:v>
      </x:c>
      <x:c r="B1" s="27" t="str">
        <x:v>lesion_label</x:v>
      </x:c>
      <x:c r="C1" s="27" t="str">
        <x:v>positives</x:v>
      </x:c>
      <x:c r="D1" s="27" t="str">
        <x:v>n_cases</x:v>
      </x:c>
      <x:c r="E1" s="27" t="str">
        <x:v>estimate</x:v>
      </x:c>
      <x:c r="F1" s="27" t="str">
        <x:v>ci_lower_wilson</x:v>
      </x:c>
      <x:c r="G1" s="27" t="str">
        <x:v>ci_upper_wilson</x:v>
      </x:c>
      <x:c r="H1" s="27" t="str">
        <x:v>beta_a</x:v>
      </x:c>
      <x:c r="I1" s="27" t="str">
        <x:v>beta_b</x:v>
      </x:c>
      <x:c r="J1" s="27" t="str">
        <x:v>prior_added_in_simulation</x:v>
      </x:c>
      <x:c r="K1" s="27" t="str">
        <x:v>distribution</x:v>
      </x:c>
      <x:c r="L1" s="27" t="str">
        <x:v>seed</x:v>
      </x:c>
      <x:c r="M1" s="27" t="str">
        <x:v>source</x:v>
      </x:c>
      <x:c r="N1" s="28" t="str">
        <x:v>notes</x:v>
      </x:c>
    </x:row>
    <x:row r="2" ht="60" customHeight="1">
      <x:c r="A2" s="29" t="str">
        <x:v>adenoma_total</x:v>
      </x:c>
      <x:c r="B2" s="29" t="str">
        <x:v>Adenoma total</x:v>
      </x:c>
      <x:c r="C2" s="30" t="n">
        <x:v>60</x:v>
      </x:c>
      <x:c r="D2" s="30" t="n">
        <x:v>498</x:v>
      </x:c>
      <x:c r="E2" s="31" t="n">
        <x:f>C2/D2</x:f>
        <x:v>0.12048192771084337</x:v>
      </x:c>
      <x:c r="F2" s="31" t="n">
        <x:v>0.0947587166792471</x:v>
      </x:c>
      <x:c r="G2" s="31" t="n">
        <x:v>0.15201535238973</x:v>
      </x:c>
      <x:c r="H2" s="31" t="n">
        <x:f>C2</x:f>
        <x:v>60</x:v>
      </x:c>
      <x:c r="I2" s="31" t="n">
        <x:f>D2-C2</x:f>
        <x:v>438</x:v>
      </x:c>
      <x:c r="J2" s="31" t="n">
        <x:v>0.5</x:v>
      </x:c>
      <x:c r="K2" s="29" t="str">
        <x:v>beta</x:v>
      </x:c>
      <x:c r="L2" s="32" t="n">
        <x:v>20260923</x:v>
      </x:c>
      <x:c r="M2" s="29" t="str">
        <x:v>PRENEC highrisk==1; one observed FIT selected per patient</x:v>
      </x:c>
      <x:c r="N2" s="29" t="str">
        <x:v>Escenario central calculado en R. Los IC95% son Wilson; la simulacion usa Beta(x+0,5, n-x+0,5).</x:v>
      </x:c>
    </x:row>
    <x:row r="3" ht="60" customHeight="1">
      <x:c r="A3" s="29" t="str">
        <x:v>small</x:v>
      </x:c>
      <x:c r="B3" s="29" t="str">
        <x:v>Adenomas pequenos (0,1-5 mm)</x:v>
      </x:c>
      <x:c r="C3" s="30" t="n">
        <x:v>16</x:v>
      </x:c>
      <x:c r="D3" s="30" t="n">
        <x:v>247</x:v>
      </x:c>
      <x:c r="E3" s="31" t="n">
        <x:f>C3/D3</x:f>
        <x:v>0.06477732793522267</x:v>
      </x:c>
      <x:c r="F3" s="31" t="n">
        <x:v>0.0402626151028941</x:v>
      </x:c>
      <x:c r="G3" s="31" t="n">
        <x:v>0.102622293114428</x:v>
      </x:c>
      <x:c r="H3" s="31" t="n">
        <x:f>C3</x:f>
        <x:v>16</x:v>
      </x:c>
      <x:c r="I3" s="31" t="n">
        <x:f>D3-C3</x:f>
        <x:v>231</x:v>
      </x:c>
      <x:c r="J3" s="31" t="n">
        <x:v>0.5</x:v>
      </x:c>
      <x:c r="K3" s="29" t="str">
        <x:v>beta</x:v>
      </x:c>
      <x:c r="L3" s="32" t="n">
        <x:v>20260923</x:v>
      </x:c>
      <x:c r="M3" s="29" t="str">
        <x:v>PRENEC highrisk==1; one observed FIT selected per patient</x:v>
      </x:c>
      <x:c r="N3" s="29" t="str">
        <x:v>Escenario central calculado en R. Los IC95% son Wilson; la simulacion usa Beta(x+0,5, n-x+0,5).</x:v>
      </x:c>
    </x:row>
    <x:row r="4" ht="60" customHeight="1">
      <x:c r="A4" s="29" t="str">
        <x:v>medium</x:v>
      </x:c>
      <x:c r="B4" s="29" t="str">
        <x:v>Adenomas medianos (6-9 mm)</x:v>
      </x:c>
      <x:c r="C4" s="30" t="n">
        <x:v>18</x:v>
      </x:c>
      <x:c r="D4" s="30" t="n">
        <x:v>141</x:v>
      </x:c>
      <x:c r="E4" s="31" t="n">
        <x:f>C4/D4</x:f>
        <x:v>0.1276595744680851</x:v>
      </x:c>
      <x:c r="F4" s="31" t="n">
        <x:v>0.0822983428384382</x:v>
      </x:c>
      <x:c r="G4" s="31" t="n">
        <x:v>0.192771096154272</x:v>
      </x:c>
      <x:c r="H4" s="31" t="n">
        <x:f>C4</x:f>
        <x:v>18</x:v>
      </x:c>
      <x:c r="I4" s="31" t="n">
        <x:f>D4-C4</x:f>
        <x:v>123</x:v>
      </x:c>
      <x:c r="J4" s="31" t="n">
        <x:v>0.5</x:v>
      </x:c>
      <x:c r="K4" s="29" t="str">
        <x:v>beta</x:v>
      </x:c>
      <x:c r="L4" s="32" t="n">
        <x:v>20260923</x:v>
      </x:c>
      <x:c r="M4" s="29" t="str">
        <x:v>PRENEC highrisk==1; one observed FIT selected per patient</x:v>
      </x:c>
      <x:c r="N4" s="29" t="str">
        <x:v>Escenario central calculado en R. Los IC95% son Wilson; la simulacion usa Beta(x+0,5, n-x+0,5).</x:v>
      </x:c>
    </x:row>
    <x:row r="5" ht="60" customHeight="1">
      <x:c r="A5" s="29" t="str">
        <x:v>large</x:v>
      </x:c>
      <x:c r="B5" s="29" t="str">
        <x:v>Adenomas grandes (&gt;=10 mm)</x:v>
      </x:c>
      <x:c r="C5" s="30" t="n">
        <x:v>24</x:v>
      </x:c>
      <x:c r="D5" s="30" t="n">
        <x:v>89</x:v>
      </x:c>
      <x:c r="E5" s="31" t="n">
        <x:f>C5/D5</x:f>
        <x:v>0.2696629213483146</x:v>
      </x:c>
      <x:c r="F5" s="31" t="n">
        <x:v>0.188420525797393</x:v>
      </x:c>
      <x:c r="G5" s="31" t="n">
        <x:v>0.369966422008072</x:v>
      </x:c>
      <x:c r="H5" s="31" t="n">
        <x:f>C5</x:f>
        <x:v>24</x:v>
      </x:c>
      <x:c r="I5" s="31" t="n">
        <x:f>D5-C5</x:f>
        <x:v>65</x:v>
      </x:c>
      <x:c r="J5" s="31" t="n">
        <x:v>0.5</x:v>
      </x:c>
      <x:c r="K5" s="29" t="str">
        <x:v>beta</x:v>
      </x:c>
      <x:c r="L5" s="32" t="n">
        <x:v>20260923</x:v>
      </x:c>
      <x:c r="M5" s="29" t="str">
        <x:v>PRENEC highrisk==1; one observed FIT selected per patient</x:v>
      </x:c>
      <x:c r="N5" s="29" t="str">
        <x:v>Escenario central calculado en R. Los IC95% son Wilson; la simulacion usa Beta(x+0,5, n-x+0,5).</x:v>
      </x:c>
    </x:row>
    <x:row r="6" ht="60" customHeight="1">
      <x:c r="A6" s="29" t="str">
        <x:v>low_risk</x:v>
      </x:c>
      <x:c r="B6" s="29" t="str">
        <x:v>Adenomas de bajo riesgo</x:v>
      </x:c>
      <x:c r="C6" s="30" t="n">
        <x:v>21</x:v>
      </x:c>
      <x:c r="D6" s="30" t="n">
        <x:v>301</x:v>
      </x:c>
      <x:c r="E6" s="31" t="n">
        <x:f>C6/D6</x:f>
        <x:v>0.06976744186046512</x:v>
      </x:c>
      <x:c r="F6" s="31" t="n">
        <x:v>0.0460818013242719</x:v>
      </x:c>
      <x:c r="G6" s="31" t="n">
        <x:v>0.104296231237427</x:v>
      </x:c>
      <x:c r="H6" s="31" t="n">
        <x:f>C6</x:f>
        <x:v>21</x:v>
      </x:c>
      <x:c r="I6" s="31" t="n">
        <x:f>D6-C6</x:f>
        <x:v>280</x:v>
      </x:c>
      <x:c r="J6" s="31" t="n">
        <x:v>0.5</x:v>
      </x:c>
      <x:c r="K6" s="29" t="str">
        <x:v>beta</x:v>
      </x:c>
      <x:c r="L6" s="32" t="n">
        <x:v>20260923</x:v>
      </x:c>
      <x:c r="M6" s="29" t="str">
        <x:v>PRENEC highrisk==1; one observed FIT selected per patient</x:v>
      </x:c>
      <x:c r="N6" s="29" t="str">
        <x:v>Escenario central calculado en R. Los IC95% son Wilson; la simulacion usa Beta(x+0,5, n-x+0,5).</x:v>
      </x:c>
    </x:row>
    <x:row r="7" ht="60" customHeight="1">
      <x:c r="A7" s="29" t="str">
        <x:v>high_risk</x:v>
      </x:c>
      <x:c r="B7" s="29" t="str">
        <x:v>Adenomas de alto riesgo</x:v>
      </x:c>
      <x:c r="C7" s="30" t="n">
        <x:v>37</x:v>
      </x:c>
      <x:c r="D7" s="30" t="n">
        <x:v>170</x:v>
      </x:c>
      <x:c r="E7" s="31" t="n">
        <x:f>C7/D7</x:f>
        <x:v>0.21764705882352942</x:v>
      </x:c>
      <x:c r="F7" s="31" t="n">
        <x:v>0.162229086580235</x:v>
      </x:c>
      <x:c r="G7" s="31" t="n">
        <x:v>0.285543610155947</x:v>
      </x:c>
      <x:c r="H7" s="31" t="n">
        <x:f>C7</x:f>
        <x:v>37</x:v>
      </x:c>
      <x:c r="I7" s="31" t="n">
        <x:f>D7-C7</x:f>
        <x:v>133</x:v>
      </x:c>
      <x:c r="J7" s="31" t="n">
        <x:v>0.5</x:v>
      </x:c>
      <x:c r="K7" s="29" t="str">
        <x:v>beta</x:v>
      </x:c>
      <x:c r="L7" s="32" t="n">
        <x:v>20260923</x:v>
      </x:c>
      <x:c r="M7" s="29" t="str">
        <x:v>PRENEC highrisk==1; one observed FIT selected per patient</x:v>
      </x:c>
      <x:c r="N7" s="29" t="str">
        <x:v>Escenario central calculado en R. Los IC95% son Wilson; la simulacion usa Beta(x+0,5, n-x+0,5).</x:v>
      </x:c>
    </x:row>
    <x:row r="8" ht="60" customHeight="1">
      <x:c r="A8" s="29" t="str">
        <x:v>cancer</x:v>
      </x:c>
      <x:c r="B8" s="29" t="str">
        <x:v>Cancer colorrectal</x:v>
      </x:c>
      <x:c r="C8" s="30" t="n">
        <x:v>6</x:v>
      </x:c>
      <x:c r="D8" s="30" t="n">
        <x:v>6</x:v>
      </x:c>
      <x:c r="E8" s="31" t="n">
        <x:f>C8/D8</x:f>
        <x:v>1</x:v>
      </x:c>
      <x:c r="F8" s="31" t="n">
        <x:v>0.609665712097835</x:v>
      </x:c>
      <x:c r="G8" s="31" t="n">
        <x:v>1</x:v>
      </x:c>
      <x:c r="H8" s="31" t="n">
        <x:f>C8</x:f>
        <x:v>6</x:v>
      </x:c>
      <x:c r="I8" s="31" t="n">
        <x:f>D8-C8</x:f>
        <x:v>0</x:v>
      </x:c>
      <x:c r="J8" s="31" t="n">
        <x:v>0.5</x:v>
      </x:c>
      <x:c r="K8" s="29" t="str">
        <x:v>beta</x:v>
      </x:c>
      <x:c r="L8" s="32" t="n">
        <x:v>20260923</x:v>
      </x:c>
      <x:c r="M8" s="29" t="str">
        <x:v>PRENEC highrisk==1; one observed FIT selected per patient</x:v>
      </x:c>
      <x:c r="N8" s="29" t="str">
        <x:v>Escenario central calculado en R. Los IC95% son Wilson; la simulacion usa Beta(x+0,5, n-x+0,5).</x:v>
      </x:c>
    </x:row>
  </x:sheetData>
  <x:pageMargins left="0.7" right="0.7" top="0.75" bottom="0.75" header="0.3" footer="0.3"/>
  <x:tableParts count="1">
    <x:tablePart xmlns:r="http://schemas.openxmlformats.org/officeDocument/2006/relationships" r:id="Rf27f9b9dee204d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24" hidden="0" customWidth="1"/>
    <x:col min="16" max="16" width="48" hidden="0" customWidth="1"/>
    <x:col min="17" max="17" width="72" hidden="0" customWidth="1"/>
  </x:cols>
  <x:sheetData>
    <x:row r="1" ht="46" customHeight="1">
      <x:c r="A1" s="26" t="str">
        <x:v>scenario_id</x:v>
      </x:c>
      <x:c r="B1" s="27" t="str">
        <x:v>scenario_label</x:v>
      </x:c>
      <x:c r="C1" s="27" t="str">
        <x:v>lesion_key</x:v>
      </x:c>
      <x:c r="D1" s="27" t="str">
        <x:v>estimate</x:v>
      </x:c>
      <x:c r="E1" s="27" t="str">
        <x:v>ci_lower</x:v>
      </x:c>
      <x:c r="F1" s="27" t="str">
        <x:v>ci_upper</x:v>
      </x:c>
      <x:c r="G1" s="27" t="str">
        <x:v>beta_a</x:v>
      </x:c>
      <x:c r="H1" s="27" t="str">
        <x:v>beta_b</x:v>
      </x:c>
      <x:c r="I1" s="27" t="str">
        <x:v>n_effective</x:v>
      </x:c>
      <x:c r="J1" s="27" t="str">
        <x:v>distribution</x:v>
      </x:c>
      <x:c r="K1" s="27" t="str">
        <x:v>logit_mean</x:v>
      </x:c>
      <x:c r="L1" s="27" t="str">
        <x:v>logit_se</x:v>
      </x:c>
      <x:c r="M1" s="27" t="str">
        <x:v>prior_added_in_simulation</x:v>
      </x:c>
      <x:c r="N1" s="27" t="str">
        <x:v>active</x:v>
      </x:c>
      <x:c r="O1" s="27" t="str">
        <x:v>source_id</x:v>
      </x:c>
      <x:c r="P1" s="27" t="str">
        <x:v>citation</x:v>
      </x:c>
      <x:c r="Q1" s="28" t="str">
        <x:v>notes</x:v>
      </x:c>
    </x:row>
    <x:row r="2" ht="66" customHeight="1">
      <x:c r="A2" s="38" t="str">
        <x:v>meta_analysis_v1</x:v>
      </x:c>
      <x:c r="B2" s="38" t="str">
        <x:v>Meta-analisis FIT (por completar)</x:v>
      </x:c>
      <x:c r="C2" s="38" t="str">
        <x:v>adenoma_total</x:v>
      </x:c>
      <x:c r="D2" s="39"/>
      <x:c r="E2" s="39"/>
      <x:c r="F2" s="39"/>
      <x:c r="G2" s="39"/>
      <x:c r="H2" s="39"/>
      <x:c r="I2" s="39"/>
      <x:c r="J2" s="39" t="str">
        <x:v>logit_normal</x:v>
      </x:c>
      <x:c r="K2" s="39"/>
      <x:c r="L2" s="39"/>
      <x:c r="M2" s="39" t="n">
        <x:v>0</x:v>
      </x:c>
      <x:c r="N2" s="40" t="b">
        <x:v>0</x:v>
      </x:c>
      <x:c r="O2" s="38" t="str">
        <x:v>meta_fit_v1</x:v>
      </x:c>
      <x:c r="P2" s="38" t="str">
        <x:v>Por completar al finalizar el meta-analisis</x:v>
      </x:c>
      <x:c r="Q2" s="38" t="str">
        <x:v>Complete el estimador para Adenoma total; active las siete filas del escenario simultaneamente.</x:v>
      </x:c>
    </x:row>
    <x:row r="3" ht="66" customHeight="1">
      <x:c r="A3" s="38" t="str">
        <x:v>meta_analysis_v1</x:v>
      </x:c>
      <x:c r="B3" s="38" t="str">
        <x:v>Meta-analisis FIT (por completar)</x:v>
      </x:c>
      <x:c r="C3" s="38" t="str">
        <x:v>small</x:v>
      </x:c>
      <x:c r="D3" s="39"/>
      <x:c r="E3" s="39"/>
      <x:c r="F3" s="39"/>
      <x:c r="G3" s="39"/>
      <x:c r="H3" s="39"/>
      <x:c r="I3" s="39"/>
      <x:c r="J3" s="39" t="str">
        <x:v>logit_normal</x:v>
      </x:c>
      <x:c r="K3" s="39"/>
      <x:c r="L3" s="39"/>
      <x:c r="M3" s="39" t="n">
        <x:v>0</x:v>
      </x:c>
      <x:c r="N3" s="40" t="b">
        <x:v>0</x:v>
      </x:c>
      <x:c r="O3" s="38" t="str">
        <x:v>meta_fit_v1</x:v>
      </x:c>
      <x:c r="P3" s="38" t="str">
        <x:v>Por completar al finalizar el meta-analisis</x:v>
      </x:c>
      <x:c r="Q3" s="38" t="str">
        <x:v>Complete el estimador para Adenomas pequenos (0,1-5 mm); active las siete filas del escenario simultaneamente.</x:v>
      </x:c>
    </x:row>
    <x:row r="4" ht="66" customHeight="1">
      <x:c r="A4" s="38" t="str">
        <x:v>meta_analysis_v1</x:v>
      </x:c>
      <x:c r="B4" s="38" t="str">
        <x:v>Meta-analisis FIT (por completar)</x:v>
      </x:c>
      <x:c r="C4" s="38" t="str">
        <x:v>medium</x:v>
      </x:c>
      <x:c r="D4" s="39"/>
      <x:c r="E4" s="39"/>
      <x:c r="F4" s="39"/>
      <x:c r="G4" s="39"/>
      <x:c r="H4" s="39"/>
      <x:c r="I4" s="39"/>
      <x:c r="J4" s="39" t="str">
        <x:v>logit_normal</x:v>
      </x:c>
      <x:c r="K4" s="39"/>
      <x:c r="L4" s="39"/>
      <x:c r="M4" s="39" t="n">
        <x:v>0</x:v>
      </x:c>
      <x:c r="N4" s="40" t="b">
        <x:v>0</x:v>
      </x:c>
      <x:c r="O4" s="38" t="str">
        <x:v>meta_fit_v1</x:v>
      </x:c>
      <x:c r="P4" s="38" t="str">
        <x:v>Por completar al finalizar el meta-analisis</x:v>
      </x:c>
      <x:c r="Q4" s="38" t="str">
        <x:v>Complete el estimador para Adenomas medianos (6-9 mm); active las siete filas del escenario simultaneamente.</x:v>
      </x:c>
    </x:row>
    <x:row r="5" ht="66" customHeight="1">
      <x:c r="A5" s="38" t="str">
        <x:v>meta_analysis_v1</x:v>
      </x:c>
      <x:c r="B5" s="38" t="str">
        <x:v>Meta-analisis FIT (por completar)</x:v>
      </x:c>
      <x:c r="C5" s="38" t="str">
        <x:v>large</x:v>
      </x:c>
      <x:c r="D5" s="39"/>
      <x:c r="E5" s="39"/>
      <x:c r="F5" s="39"/>
      <x:c r="G5" s="39"/>
      <x:c r="H5" s="39"/>
      <x:c r="I5" s="39"/>
      <x:c r="J5" s="39" t="str">
        <x:v>logit_normal</x:v>
      </x:c>
      <x:c r="K5" s="39"/>
      <x:c r="L5" s="39"/>
      <x:c r="M5" s="39" t="n">
        <x:v>0</x:v>
      </x:c>
      <x:c r="N5" s="40" t="b">
        <x:v>0</x:v>
      </x:c>
      <x:c r="O5" s="38" t="str">
        <x:v>meta_fit_v1</x:v>
      </x:c>
      <x:c r="P5" s="38" t="str">
        <x:v>Por completar al finalizar el meta-analisis</x:v>
      </x:c>
      <x:c r="Q5" s="38" t="str">
        <x:v>Complete el estimador para Adenomas grandes (&gt;=10 mm); active las siete filas del escenario simultaneamente.</x:v>
      </x:c>
    </x:row>
    <x:row r="6" ht="66" customHeight="1">
      <x:c r="A6" s="38" t="str">
        <x:v>meta_analysis_v1</x:v>
      </x:c>
      <x:c r="B6" s="38" t="str">
        <x:v>Meta-analisis FIT (por completar)</x:v>
      </x:c>
      <x:c r="C6" s="38" t="str">
        <x:v>low_risk</x:v>
      </x:c>
      <x:c r="D6" s="39"/>
      <x:c r="E6" s="39"/>
      <x:c r="F6" s="39"/>
      <x:c r="G6" s="39"/>
      <x:c r="H6" s="39"/>
      <x:c r="I6" s="39"/>
      <x:c r="J6" s="39" t="str">
        <x:v>logit_normal</x:v>
      </x:c>
      <x:c r="K6" s="39"/>
      <x:c r="L6" s="39"/>
      <x:c r="M6" s="39" t="n">
        <x:v>0</x:v>
      </x:c>
      <x:c r="N6" s="40" t="b">
        <x:v>0</x:v>
      </x:c>
      <x:c r="O6" s="38" t="str">
        <x:v>meta_fit_v1</x:v>
      </x:c>
      <x:c r="P6" s="38" t="str">
        <x:v>Por completar al finalizar el meta-analisis</x:v>
      </x:c>
      <x:c r="Q6" s="38" t="str">
        <x:v>Complete el estimador para Adenomas de bajo riesgo; active las siete filas del escenario simultaneamente.</x:v>
      </x:c>
    </x:row>
    <x:row r="7" ht="66" customHeight="1">
      <x:c r="A7" s="38" t="str">
        <x:v>meta_analysis_v1</x:v>
      </x:c>
      <x:c r="B7" s="38" t="str">
        <x:v>Meta-analisis FIT (por completar)</x:v>
      </x:c>
      <x:c r="C7" s="38" t="str">
        <x:v>high_risk</x:v>
      </x:c>
      <x:c r="D7" s="39"/>
      <x:c r="E7" s="39"/>
      <x:c r="F7" s="39"/>
      <x:c r="G7" s="39"/>
      <x:c r="H7" s="39"/>
      <x:c r="I7" s="39"/>
      <x:c r="J7" s="39" t="str">
        <x:v>logit_normal</x:v>
      </x:c>
      <x:c r="K7" s="39"/>
      <x:c r="L7" s="39"/>
      <x:c r="M7" s="39" t="n">
        <x:v>0</x:v>
      </x:c>
      <x:c r="N7" s="40" t="b">
        <x:v>0</x:v>
      </x:c>
      <x:c r="O7" s="38" t="str">
        <x:v>meta_fit_v1</x:v>
      </x:c>
      <x:c r="P7" s="38" t="str">
        <x:v>Por completar al finalizar el meta-analisis</x:v>
      </x:c>
      <x:c r="Q7" s="38" t="str">
        <x:v>Complete el estimador para Adenomas de alto riesgo; active las siete filas del escenario simultaneamente.</x:v>
      </x:c>
    </x:row>
    <x:row r="8" ht="66" customHeight="1">
      <x:c r="A8" s="38" t="str">
        <x:v>meta_analysis_v1</x:v>
      </x:c>
      <x:c r="B8" s="38" t="str">
        <x:v>Meta-analisis FIT (por completar)</x:v>
      </x:c>
      <x:c r="C8" s="38" t="str">
        <x:v>cancer</x:v>
      </x:c>
      <x:c r="D8" s="39"/>
      <x:c r="E8" s="39"/>
      <x:c r="F8" s="39"/>
      <x:c r="G8" s="39"/>
      <x:c r="H8" s="39"/>
      <x:c r="I8" s="39"/>
      <x:c r="J8" s="39" t="str">
        <x:v>logit_normal</x:v>
      </x:c>
      <x:c r="K8" s="39"/>
      <x:c r="L8" s="39"/>
      <x:c r="M8" s="39" t="n">
        <x:v>0</x:v>
      </x:c>
      <x:c r="N8" s="40" t="b">
        <x:v>0</x:v>
      </x:c>
      <x:c r="O8" s="38" t="str">
        <x:v>meta_fit_v1</x:v>
      </x:c>
      <x:c r="P8" s="38" t="str">
        <x:v>Por completar al finalizar el meta-analisis</x:v>
      </x:c>
      <x:c r="Q8" s="38" t="str">
        <x:v>Complete el estimador para Cancer colorrectal; active las siete filas del escenario simultaneamente.</x:v>
      </x:c>
    </x:row>
    <x:row r="9" ht="76" customHeight="1">
      <x:c r="A9" s="53" t="str">
        <x:v>lin_2021_oc_sensor</x:v>
      </x:c>
      <x:c r="B9" s="41" t="str">
        <x:v>Lin 2021 OC-Sensor (20 µg Hb/g)</x:v>
      </x:c>
      <x:c r="C9" s="53" t="str">
        <x:v>high_risk</x:v>
      </x:c>
      <x:c r="D9" s="55" t="n">
        <x:v>0.23</x:v>
      </x:c>
      <x:c r="E9" s="55" t="n">
        <x:v>0.2</x:v>
      </x:c>
      <x:c r="F9" s="55" t="n">
        <x:v>0.25</x:v>
      </x:c>
      <x:c r="G9" s="56" t="n">
        <x:v>250.128627429334</x:v>
      </x:c>
      <x:c r="H9" s="56" t="n">
        <x:v>837.387144002553</x:v>
      </x:c>
      <x:c r="I9" s="56" t="n">
        <x:v>1087.515771431887</x:v>
      </x:c>
      <x:c r="J9" s="53" t="str">
        <x:v>beta</x:v>
      </x:c>
      <x:c r="K9" s="53"/>
      <x:c r="L9" s="53"/>
      <x:c r="M9" s="57" t="n">
        <x:v>0</x:v>
      </x:c>
      <x:c r="N9" s="54" t="b">
        <x:v>1</x:v>
      </x:c>
      <x:c r="O9" s="53" t="str">
        <x:v>lin_2021_jama</x:v>
      </x:c>
      <x:c r="P9" s="41" t="str">
        <x:v>Lin JS, Perdue LA, Henrikson NB, Bean SI, Blasi PR. Screening for Colorectal Cancer: Updated Evidence Report and Systematic Review for the US Preventive Services Task Force. JAMA. 2021;325(19):1978-1998. doi:10.1001/jama.2021.4417. https://jamanetwork.com/journals/jama/fullarticle/2779987</x:v>
      </x:c>
      <x:c r="Q9" s="41" t="str">
        <x:v>Adenoma avanzado: 10 estudios, n=40.411, I²=47,4%. Mapeado a high_risk por tamaño ≥10 mm o histología avanzada, sin criterio de número. Beta ajustada por momentos desde el estimador y su IC95%; alfa y beta no son conteos.</x:v>
      </x:c>
    </x:row>
    <x:row r="10" ht="76" customHeight="1">
      <x:c r="A10" s="53" t="str">
        <x:v>lin_2021_oc_sensor</x:v>
      </x:c>
      <x:c r="B10" s="41" t="str">
        <x:v>Lin 2021 OC-Sensor (20 µg Hb/g)</x:v>
      </x:c>
      <x:c r="C10" s="53" t="str">
        <x:v>cancer</x:v>
      </x:c>
      <x:c r="D10" s="55" t="n">
        <x:v>0.74</x:v>
      </x:c>
      <x:c r="E10" s="55" t="n">
        <x:v>0.64</x:v>
      </x:c>
      <x:c r="F10" s="55" t="n">
        <x:v>0.83</x:v>
      </x:c>
      <x:c r="G10" s="56" t="n">
        <x:v>59.8618328038944</x:v>
      </x:c>
      <x:c r="H10" s="56" t="n">
        <x:v>21.0325358500169</x:v>
      </x:c>
      <x:c r="I10" s="56" t="n">
        <x:v>80.8943686539113</x:v>
      </x:c>
      <x:c r="J10" s="53" t="str">
        <x:v>beta</x:v>
      </x:c>
      <x:c r="K10" s="53"/>
      <x:c r="L10" s="53"/>
      <x:c r="M10" s="57" t="n">
        <x:v>0</x:v>
      </x:c>
      <x:c r="N10" s="54" t="b">
        <x:v>1</x:v>
      </x:c>
      <x:c r="O10" s="53" t="str">
        <x:v>lin_2021_jama</x:v>
      </x:c>
      <x:c r="P10" s="41" t="str">
        <x:v>Lin JS, Perdue LA, Henrikson NB, Bean SI, Blasi PR. Screening for Colorectal Cancer: Updated Evidence Report and Systematic Review for the US Preventive Services Task Force. JAMA. 2021;325(19):1978-1998. doi:10.1001/jama.2021.4417. https://jamanetwork.com/journals/jama/fullarticle/2779987</x:v>
      </x:c>
      <x:c r="Q10" s="41" t="str">
        <x:v>Cáncer colorrectal: 9 estudios, n=34.352, I²=31,6%. Beta ajustada por momentos desde el estimador y su IC95%; alfa y beta no son conteos.</x:v>
      </x:c>
    </x:row>
    <x:row r="11" ht="92" customHeight="1">
      <x:c r="A11" s="62" t="str">
        <x:v>meta_naa_oc100</x:v>
      </x:c>
      <x:c r="B11" s="62" t="str">
        <x:v>Four-study OC-Sensor meta-analysis (100 ng/mL): non-advanced adenoma</x:v>
      </x:c>
      <x:c r="C11" s="62" t="str">
        <x:v>low_risk</x:v>
      </x:c>
      <x:c r="D11" s="64" t="n">
        <x:v>0.0759575849401511</x:v>
      </x:c>
      <x:c r="E11" s="64" t="n">
        <x:v>0.0644470939507913</x:v>
      </x:c>
      <x:c r="F11" s="64" t="n">
        <x:v>0.0893276009037853</x:v>
      </x:c>
      <x:c r="G11" s="62"/>
      <x:c r="H11" s="62"/>
      <x:c r="I11" s="62"/>
      <x:c r="J11" s="62" t="str">
        <x:v>logit_normal</x:v>
      </x:c>
      <x:c r="K11" s="65" t="n">
        <x:v>-2.49858288273079</x:v>
      </x:c>
      <x:c r="L11" s="65" t="n">
        <x:v>0.0901599101599134</x:v>
      </x:c>
      <x:c r="M11" s="66" t="n">
        <x:v>0</x:v>
      </x:c>
      <x:c r="N11" s="63" t="b">
        <x:v>1</x:v>
      </x:c>
      <x:c r="O11" s="62" t="str">
        <x:v>nonadvanced_oc_sensor_100_meta</x:v>
      </x:c>
      <x:c r="P11" s="62" t="str">
        <x:v>Study-level TP/FN supplied by the user: Park 2010; Redwood 2016; Chang 2017; Imperiale et al. 2014. Full citations and per-patient verification pending before publication.</x:v>
      </x:c>
      <x:c r="Q11" s="62" t="str">
        <x:v>Random-effects binomial-logit GLMM, k=4, TP=351, FN=4270; Hartung-Knapp 95% CI. Simulation SD on the logit scale is calibrated to that interval. Raw model SE=0.055527. Replaces low_risk only.</x:v>
      </x:c>
    </x:row>
    <x:row r="12">
      <x:c r="A12" t="str">
        <x:v>meta_any_adenoma_oc100</x:v>
      </x:c>
      <x:c r="B12" t="str">
        <x:v>Four-study OC-Sensor meta-analysis (100 ng/mL): any adenoma</x:v>
      </x:c>
      <x:c r="C12" t="str">
        <x:v>adenoma_total</x:v>
      </x:c>
      <x:c r="D12" t="n">
        <x:v>0.108652458841981</x:v>
      </x:c>
      <x:c r="E12" t="n">
        <x:v>0.0912171464557271</x:v>
      </x:c>
      <x:c r="F12" t="n">
        <x:v>0.128947506131068</x:v>
      </x:c>
      <x:c r="G12"/>
      <x:c r="H12"/>
      <x:c r="I12"/>
      <x:c r="J12" t="str">
        <x:v>logit_normal</x:v>
      </x:c>
      <x:c r="K12" t="n">
        <x:v>-2.10458007153705</x:v>
      </x:c>
      <x:c r="L12" t="n">
        <x:v>0.0991259134626154</x:v>
      </x:c>
      <x:c r="M12" t="n">
        <x:v>0</x:v>
      </x:c>
      <x:c r="N12" s="33" t="b">
        <x:v>1</x:v>
      </x:c>
      <x:c r="O12" t="str">
        <x:v>any_adenoma_oc_sensor_100_meta</x:v>
      </x:c>
      <x:c r="P12" t="str">
        <x:v>Study-level TP/FN supplied by the user: Park 2010; Chang 2017; Imperiale et al. 2014; Omata 2011. Full citations and per-patient verification pending before publication.</x:v>
      </x:c>
      <x:c r="Q12" t="str">
        <x:v>Random-effects inverse-variance meta-analysis of logit sensitivities; REML tau-squared and Hartung-Knapp 95% CI. Omata uses reconstructed effective fractional counts (TP 43.23; FN 349.77), not observed integer counts. Simulation logit SD is calibrated to the HK interval. Replaces adenoma_total only.</x:v>
      </x:c>
    </x:row>
  </x:sheetData>
  <x:pageMargins left="0.7" right="0.7" top="0.75" bottom="0.75" header="0.3" footer="0.3"/>
  <x:tableParts count="1">
    <x:tablePart xmlns:r="http://schemas.openxmlformats.org/officeDocument/2006/relationships" r:id="R7d4d9859bdc24a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50" hidden="0" customWidth="1"/>
    <x:col min="3" max="3" width="42" hidden="0" customWidth="1"/>
    <x:col min="4" max="4" width="27" hidden="0" customWidth="1"/>
    <x:col min="5" max="5" width="18" hidden="0" customWidth="1"/>
    <x:col min="6" max="6" width="55" hidden="0" customWidth="1"/>
    <x:col min="7" max="7" width="55" hidden="0" customWidth="1"/>
    <x:col min="8" max="8" width="55" hidden="0" customWidth="1"/>
  </x:cols>
  <x:sheetData>
    <x:row r="1">
      <x:c r="A1" s="26" t="str">
        <x:v>source_id</x:v>
      </x:c>
      <x:c r="B1" s="27" t="str">
        <x:v>citation</x:v>
      </x:c>
      <x:c r="C1" s="27" t="str">
        <x:v>population</x:v>
      </x:c>
      <x:c r="D1" s="27" t="str">
        <x:v>fit_threshold</x:v>
      </x:c>
      <x:c r="E1" s="27" t="str">
        <x:v>analysis_unit</x:v>
      </x:c>
      <x:c r="F1" s="27" t="str">
        <x:v>model</x:v>
      </x:c>
      <x:c r="G1" s="27" t="str">
        <x:v>use_in_model</x:v>
      </x:c>
      <x:c r="H1" s="28" t="str">
        <x:v>limitations</x:v>
      </x:c>
    </x:row>
    <x:row r="2" ht="75" customHeight="1">
      <x:c r="A2" s="41" t="str">
        <x:v>prenec_highrisk_random_fit</x:v>
      </x:c>
      <x:c r="B2" s="41" t="str">
        <x:v>PRENEC internal high-risk cohort</x:v>
      </x:c>
      <x:c r="C2" s="41" t="str">
        <x:v>Patients with highrisk==1 and colonoscopy reference</x:v>
      </x:c>
      <x:c r="D2" s="41" t="str">
        <x:v>&gt;=100 ng/mL</x:v>
      </x:c>
      <x:c r="E2" s="41" t="str">
        <x:v>Per patient</x:v>
      </x:c>
      <x:c r="F2" s="41" t="str">
        <x:v>One observed FIT round selected at random, seed 20260923</x:v>
      </x:c>
      <x:c r="G2" s="41" t="str">
        <x:v>Central scenario</x:v>
      </x:c>
      <x:c r="H2" s="41" t="str">
        <x:v>Internal estimate; FIT sensitivity is applied globally to Total, Hombre and Mujer.</x:v>
      </x:c>
    </x:row>
    <x:row r="3" ht="75" customHeight="1">
      <x:c r="A3" s="41" t="str">
        <x:v>meta_fit_v1</x:v>
      </x:c>
      <x:c r="B3" s="41" t="str">
        <x:v>Por completar al finalizar el meta-analisis</x:v>
      </x:c>
      <x:c r="C3" s="41" t="str">
        <x:v>Por completar</x:v>
      </x:c>
      <x:c r="D3" s="41" t="str">
        <x:v>Documentar unidades y umbral</x:v>
      </x:c>
      <x:c r="E3" s="41" t="str">
        <x:v>Per patient</x:v>
      </x:c>
      <x:c r="F3" s="41" t="str">
        <x:v>Preferido: logit-normal con media y SE en escala logit</x:v>
      </x:c>
      <x:c r="G3" s="41" t="str">
        <x:v>Sensitivity analysis; inactive until complete</x:v>
      </x:c>
      <x:c r="H3" s="41" t="str">
        <x:v>All seven lesion rows must be completed and activated together.</x:v>
      </x:c>
    </x:row>
    <x:row r="4" ht="86" customHeight="1">
      <x:c r="A4" s="41" t="str">
        <x:v>lin_2021_jama</x:v>
      </x:c>
      <x:c r="B4" s="41" t="str">
        <x:v>Lin JS, Perdue LA, Henrikson NB, Bean SI, Blasi PR. Screening for Colorectal Cancer: Updated Evidence Report and Systematic Review for the US Preventive Services Task Force. JAMA. 2021;325(19):1978-1998. doi:10.1001/jama.2021.4417. https://jamanetwork.com/journals/jama/fullarticle/2779987</x:v>
      </x:c>
      <x:c r="C4" s="41" t="str">
        <x:v>Adultos asintomáticos en población de tamizaje; familia OC-Sensor; colonoscopía como referencia</x:v>
      </x:c>
      <x:c r="D4" s="41" t="str">
        <x:v>20 µg Hb/g de heces</x:v>
      </x:c>
      <x:c r="E4" s="41" t="str">
        <x:v>Por paciente; una aplicación del FIT</x:v>
      </x:c>
      <x:c r="F4" s="41" t="str">
        <x:v>Sensibilidad agrupada e IC95%; Beta por ajuste de momentos en escala de probabilidad</x:v>
      </x:c>
      <x:c r="G4" s="41" t="str">
        <x:v>Análisis de sensibilidad: reemplaza solo high_risk y cancer</x:v>
      </x:c>
      <x:c r="H4" s="41" t="str">
        <x:v>La fila global OC-Sensor informa 13 estudios/n=44.887. Por desenlace: CRC 9/n=34.352 y adenoma avanzado 10/n=40.411. No modela correlación sensibilidad-especificidad ni heterogeneidad predictiva.</x:v>
      </x:c>
    </x:row>
    <x:row r="5" ht="94" customHeight="1">
      <x:c r="A5" s="62" t="str">
        <x:v>nonadvanced_oc_sensor_100_meta</x:v>
      </x:c>
      <x:c r="B5" s="62" t="str">
        <x:v>Study-level TP/FN supplied by the user: Park 2010; Redwood 2016; Chang 2017; Imperiale et al. 2014. Full citations and per-patient verification pending before publication.</x:v>
      </x:c>
      <x:c r="C5" s="62" t="str">
        <x:v>Patients with non-advanced adenoma in four supplied studies</x:v>
      </x:c>
      <x:c r="D5" s="62" t="str">
        <x:v>100 ng Hb/mL (OC-Sensor; verify threshold and units in each article)</x:v>
      </x:c>
      <x:c r="E5" s="62" t="str">
        <x:v>Per patient, assumed from supplied TP/FN; verify against original articles</x:v>
      </x:c>
      <x:c r="F5" s="62" t="str">
        <x:v>Random-effects binomial-logit GLMM; Hartung-Knapp confidence interval</x:v>
      </x:c>
      <x:c r="G5" s="62" t="str">
        <x:v>Sensitivity analysis: replaces low_risk only</x:v>
      </x:c>
      <x:c r="H5" s="62" t="str">
        <x:v>Only four studies were supplied. Full citations, complete colonoscopy verification, analysis unit, and outcome mapping must be checked before publication.</x:v>
      </x:c>
    </x:row>
    <x:row r="6">
      <x:c r="A6" t="str">
        <x:v>any_adenoma_oc_sensor_100_meta</x:v>
      </x:c>
      <x:c r="B6" t="str">
        <x:v>Study-level TP/FN supplied by the user: Park 2010; Chang 2017; Imperiale et al. 2014; Omata 2011. Full citations pending article-level verification.</x:v>
      </x:c>
      <x:c r="C6" t="str">
        <x:v>Patients with any adenoma in four supplied studies</x:v>
      </x:c>
      <x:c r="D6" t="str">
        <x:v>100 ng Hb/mL (OC-Sensor; verify threshold and units in each article)</x:v>
      </x:c>
      <x:c r="E6" t="str">
        <x:v>Per patient for model use; verify in each original article</x:v>
      </x:c>
      <x:c r="F6" t="str">
        <x:v>Random-effects inverse-variance meta-analysis on logit sensitivity; within-study variance 1/TP + 1/FN; REML; Hartung-Knapp confidence interval</x:v>
      </x:c>
      <x:c r="G6" t="str">
        <x:v>Sensitivity analysis: replaces adenoma_total only</x:v>
      </x:c>
      <x:c r="H6" t="str">
        <x:v>Omata TP/FN are reconstructed effective fractional counts, not observed integer counts. Original article definitions, complete colonoscopy verification, and full citations must be checked before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1a728f5759814c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0" hidden="0" customWidth="1"/>
  </x:cols>
  <x:sheetData>
    <x:row r="1">
      <x:c r="A1" s="26" t="str">
        <x:v>Campo/concepto</x:v>
      </x:c>
      <x:c r="B1" s="28" t="str">
        <x:v>Definicion</x:v>
      </x:c>
    </x:row>
    <x:row r="2" ht="52" customHeight="1">
      <x:c r="A2" s="48" t="str">
        <x:v>Escenario central</x:v>
      </x:c>
      <x:c r="B2" s="41" t="str">
        <x:v>Siempre se estima en R desde PRENEC highrisk==1; este libro lo documenta pero no lo reemplaza.</x:v>
      </x:c>
    </x:row>
    <x:row r="3" ht="52" customHeight="1">
      <x:c r="A3" s="48" t="str">
        <x:v>Escenarios_literatura</x:v>
      </x:c>
      <x:c r="B3" s="41" t="str">
        <x:v>Una fila por lesión y escenario. Un escenario parcial reemplaza solo las lesiones incluidas; los componentes ausentes conservan PRENEC_central.</x:v>
      </x:c>
    </x:row>
    <x:row r="4" ht="52" customHeight="1">
      <x:c r="A4" s="48" t="str">
        <x:v>estimate</x:v>
      </x:c>
      <x:c r="B4" s="41" t="str">
        <x:v>Sensibilidad puntual. En filas logit_normal se recalcula como plogis(logit_mean).</x:v>
      </x:c>
    </x:row>
    <x:row r="5" ht="52" customHeight="1">
      <x:c r="A5" s="48" t="str">
        <x:v>ci_lower / ci_upper</x:v>
      </x:c>
      <x:c r="B5" s="41" t="str">
        <x:v>IC95% de la sensibilidad. Para logit_normal puede dejarse vacio si se completa logit_mean y logit_se.</x:v>
      </x:c>
    </x:row>
    <x:row r="6" ht="52" customHeight="1">
      <x:c r="A6" s="48" t="str">
        <x:v>distribution</x:v>
      </x:c>
      <x:c r="B6" s="41" t="str">
        <x:v>beta o logit_normal. Para un meta-analisis se recomienda logit_normal.</x:v>
      </x:c>
    </x:row>
    <x:row r="7" ht="52" customHeight="1">
      <x:c r="A7" s="48" t="str">
        <x:v>beta_a / beta_b</x:v>
      </x:c>
      <x:c r="B7" s="41" t="str">
        <x:v>Shapes o pseudoconteos antes del prior indicado. No mezclar con logit_mean/logit_se.</x:v>
      </x:c>
    </x:row>
    <x:row r="8" ht="52" customHeight="1">
      <x:c r="A8" s="48" t="str">
        <x:v>n_effective</x:v>
      </x:c>
      <x:c r="B8" s="41" t="str">
        <x:v>Debe ser beta_a+beta_b para filas beta.</x:v>
      </x:c>
    </x:row>
    <x:row r="9" ht="52" customHeight="1">
      <x:c r="A9" s="48" t="str">
        <x:v>logit_mean / logit_se</x:v>
      </x:c>
      <x:c r="B9" s="41" t="str">
        <x:v>Media y error estandar del meta-analisis en escala logit.</x:v>
      </x:c>
    </x:row>
    <x:row r="10" ht="52" customHeight="1">
      <x:c r="A10" s="49" t="str">
        <x:v>prior_added_in_simulation</x:v>
      </x:c>
      <x:c r="B10" s="50" t="str">
        <x:v>0 para parametros meta-analiticos ya modelados; 0,5 para conteos PRENEC centrales.</x:v>
      </x:c>
    </x:row>
    <x:row r="11" ht="52" customHeight="1">
      <x:c r="A11" s="49" t="str">
        <x:v>active</x:v>
      </x:c>
      <x:c r="B11" s="50" t="str">
        <x:v>TRUE activa la fila. Un escenario parcial puede activar solo los desenlaces informados por la fuente; las demás sensibilidades permanecen centrales.</x:v>
      </x:c>
    </x:row>
    <x:row r="12" ht="52" customHeight="1">
      <x:c r="A12" s="51" t="str">
        <x:v>adenoma_total</x:v>
      </x:c>
      <x:c r="B12" s="52" t="str">
        <x:v>Desenlace directo por paciente; no se deriva sumando small+medium+large porque hay clasificacion incompleta.</x:v>
      </x:c>
    </x:row>
    <x:row r="13" ht="52" customHeight="1">
      <x:c r="A13" s="51" t="str">
        <x:v>Sexo</x:v>
      </x:c>
      <x:c r="B13" s="52" t="str">
        <x:v>La sensibilidad FIT global del escenario se aplica a Total, Hombre y Mujer; no se reestima por sexo.</x:v>
      </x:c>
    </x:row>
    <x:row r="14" ht="52" customHeight="1">
      <x:c r="A14" s="51" t="str">
        <x:v>Semilla</x:v>
      </x:c>
      <x:c r="B14" s="52" t="str">
        <x:v>El escenario central usa 20260923 para seleccionar una ronda FIT observada por persona.</x:v>
      </x:c>
    </x:row>
    <x:row r="15" ht="54" customHeight="1">
      <x:c r="A15" s="41" t="str">
        <x:v>Escenario parcial</x:v>
      </x:c>
      <x:c r="B15" s="41" t="str">
        <x:v>Replaces FIT sensitivity only for the active lesion_key. Lin 2021 replaces high_risk and cancer; the four-study non-advanced scenario replaces low_risk only.</x:v>
      </x:c>
    </x:row>
    <x:row r="16" ht="66" customHeight="1">
      <x:c r="A16" s="62" t="str">
        <x:v>Non-advanced mapping</x:v>
      </x:c>
      <x:c r="B16" s="62" t="str">
        <x:v>The literature non-advanced adenoma endpoint is mapped to PRENEC low_risk. This changes Low risk adenomas and, by addition, Adenomas_r; no other component is replaced.</x:v>
      </x:c>
    </x:row>
    <x:row r="17">
      <x:c r="A17" t="str">
        <x:v>Any-adenoma literature mapping</x:v>
      </x:c>
      <x:c r="B17" t="str">
        <x:v>The literature any-adenoma endpoint maps directly to PRENEC adenoma_total. It changes only Any adenoma prevalence; it is not derived from size or risk categories.</x:v>
      </x:c>
    </x:row>
    <x:row r="18">
      <x:c r="A18" t="str">
        <x:v>Omata effective counts</x:v>
      </x:c>
      <x:c r="B18" t="str">
        <x:v>TP=43.23 and FN=349.77 are reconstructed effective fractional counts. They are used in a study-level inverse-variance logit model and must not be described as observed patient counts.</x:v>
      </x:c>
    </x:row>
  </x:sheetData>
  <x:pageMargins left="0.7" right="0.7" top="0.75" bottom="0.75" header="0.3" footer="0.3"/>
  <x:tableParts count="1">
    <x:tablePart xmlns:r="http://schemas.openxmlformats.org/officeDocument/2006/relationships" r:id="Rd819839330cc44a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5" hidden="0" customWidth="1"/>
    <x:col min="5" max="5" width="4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70" t="str">
        <x:v>FIT sensitivity for non-advanced adenoma: four-study meta-analysis</x:v>
      </x:c>
      <x:c r="B1" s="70"/>
      <x:c r="C1" s="70"/>
      <x:c r="D1" s="70"/>
      <x:c r="E1" s="70"/>
      <x:c r="F1" s="70"/>
      <x:c r="G1" s="70"/>
      <x:c r="H1" s="70"/>
    </x:row>
    <x:row r="2" ht="36" customHeight="1">
      <x:c r="A2" s="74" t="str">
        <x:v>OC-Sensor at 100 ng Hb/mL · study-level counts supplied by the user · per-patient interpretation and original citations require confirmation before publication</x:v>
      </x:c>
      <x:c r="B2" s="74"/>
      <x:c r="C2" s="74"/>
      <x:c r="D2" s="74"/>
      <x:c r="E2" s="74"/>
      <x:c r="F2" s="74"/>
      <x:c r="G2" s="74"/>
      <x:c r="H2" s="74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76" t="str">
        <x:v>Study-level inputs and Wilson intervals</x:v>
      </x:c>
      <x:c r="B4" s="76"/>
      <x:c r="C4" s="76"/>
      <x:c r="D4" s="76"/>
      <x:c r="E4" s="76"/>
      <x:c r="F4" s="76"/>
      <x:c r="G4" s="76"/>
      <x:c r="H4" s="76"/>
    </x:row>
    <x:row r="5" ht="36" customHeight="1">
      <x:c r="A5" s="81" t="str">
        <x:v>Study</x:v>
      </x:c>
      <x:c r="B5" s="81" t="str">
        <x:v>Cut-off (ng/mL)</x:v>
      </x:c>
      <x:c r="C5" s="81" t="str">
        <x:v>TP</x:v>
      </x:c>
      <x:c r="D5" s="81" t="str">
        <x:v>FN</x:v>
      </x:c>
      <x:c r="E5" s="81" t="str">
        <x:v>Total cases</x:v>
      </x:c>
      <x:c r="F5" s="81" t="str">
        <x:v>Sensitivity</x:v>
      </x:c>
      <x:c r="G5" s="81" t="str">
        <x:v>Wilson 95% lower</x:v>
      </x:c>
      <x:c r="H5" s="81" t="str">
        <x:v>Wilson 95% upper</x:v>
      </x:c>
    </x:row>
    <x:row r="6">
      <x:c r="A6" s="85" t="str">
        <x:v>Park 2010</x:v>
      </x:c>
      <x:c r="B6" s="91" t="n">
        <x:v>100</x:v>
      </x:c>
      <x:c r="C6" s="91" t="n">
        <x:v>20</x:v>
      </x:c>
      <x:c r="D6" s="91" t="n">
        <x:v>199</x:v>
      </x:c>
      <x:c r="E6" s="91" t="n">
        <x:f>C6+D6</x:f>
        <x:v>219</x:v>
      </x:c>
      <x:c r="F6" s="88" t="n">
        <x:f>C6/E6</x:f>
        <x:v>0.091324200913242</x:v>
      </x:c>
      <x:c r="G6" s="88" t="n">
        <x:f>((C6/E6)+(1.95996398454^2)/(2*E6)-1.95996398454*SQRT(((C6/E6)*(1-C6/E6)+(1.95996398454^2)/(4*E6))/E6))/(1+(1.95996398454^2)/E6)</x:f>
        <x:v>0.059896384990892115</x:v>
      </x:c>
      <x:c r="H6" s="88" t="n">
        <x:f>((C6/E6)+(1.95996398454^2)/(2*E6)+1.95996398454*SQRT(((C6/E6)*(1-C6/E6)+(1.95996398454^2)/(4*E6))/E6))/(1+(1.95996398454^2)/E6)</x:f>
        <x:v>0.13684195558858817</x:v>
      </x:c>
    </x:row>
    <x:row r="7">
      <x:c r="A7" s="86" t="str">
        <x:v>Redwood 2016</x:v>
      </x:c>
      <x:c r="B7" s="92" t="n">
        <x:v>100</x:v>
      </x:c>
      <x:c r="C7" s="92" t="n">
        <x:v>24</x:v>
      </x:c>
      <x:c r="D7" s="92" t="n">
        <x:v>211</x:v>
      </x:c>
      <x:c r="E7" s="92" t="n">
        <x:f>C7+D7</x:f>
        <x:v>235</x:v>
      </x:c>
      <x:c r="F7" s="89" t="n">
        <x:f>C7/E7</x:f>
        <x:v>0.10212765957446808</x:v>
      </x:c>
      <x:c r="G7" s="89" t="n">
        <x:f>((C7/E7)+(1.95996398454^2)/(2*E7)-1.95996398454*SQRT(((C7/E7)*(1-C7/E7)+(1.95996398454^2)/(4*E7))/E7))/(1+(1.95996398454^2)/E7)</x:f>
        <x:v>0.06959379104840104</x:v>
      </x:c>
      <x:c r="H7" s="89" t="n">
        <x:f>((C7/E7)+(1.95996398454^2)/(2*E7)+1.95996398454*SQRT(((C7/E7)*(1-C7/E7)+(1.95996398454^2)/(4*E7))/E7))/(1+(1.95996398454^2)/E7)</x:f>
        <x:v>0.14746006164814018</x:v>
      </x:c>
    </x:row>
    <x:row r="8">
      <x:c r="A8" s="86" t="str">
        <x:v>Chang 2017</x:v>
      </x:c>
      <x:c r="B8" s="92" t="n">
        <x:v>100</x:v>
      </x:c>
      <x:c r="C8" s="92" t="n">
        <x:v>87</x:v>
      </x:c>
      <x:c r="D8" s="92" t="n">
        <x:v>1167</x:v>
      </x:c>
      <x:c r="E8" s="92" t="n">
        <x:f>C8+D8</x:f>
        <x:v>1254</x:v>
      </x:c>
      <x:c r="F8" s="89" t="n">
        <x:f>C8/E8</x:f>
        <x:v>0.06937799043062201</x:v>
      </x:c>
      <x:c r="G8" s="89" t="n">
        <x:f>((C8/E8)+(1.95996398454^2)/(2*E8)-1.95996398454*SQRT(((C8/E8)*(1-C8/E8)+(1.95996398454^2)/(4*E8))/E8))/(1+(1.95996398454^2)/E8)</x:f>
        <x:v>0.05658954469170828</x:v>
      </x:c>
      <x:c r="H8" s="89" t="n">
        <x:f>((C8/E8)+(1.95996398454^2)/(2*E8)+1.95996398454*SQRT(((C8/E8)*(1-C8/E8)+(1.95996398454^2)/(4*E8))/E8))/(1+(1.95996398454^2)/E8)</x:f>
        <x:v>0.08479668293942065</x:v>
      </x:c>
    </x:row>
    <x:row r="9">
      <x:c r="A9" s="87" t="str">
        <x:v>Imperiale et al. 2014</x:v>
      </x:c>
      <x:c r="B9" s="93" t="n">
        <x:v>100</x:v>
      </x:c>
      <x:c r="C9" s="93" t="n">
        <x:v>220</x:v>
      </x:c>
      <x:c r="D9" s="93" t="n">
        <x:v>2693</x:v>
      </x:c>
      <x:c r="E9" s="93" t="n">
        <x:f>C9+D9</x:f>
        <x:v>2913</x:v>
      </x:c>
      <x:c r="F9" s="90" t="n">
        <x:f>C9/E9</x:f>
        <x:v>0.0755235152763474</x:v>
      </x:c>
      <x:c r="G9" s="90" t="n">
        <x:f>((C9/E9)+(1.95996398454^2)/(2*E9)-1.95996398454*SQRT(((C9/E9)*(1-C9/E9)+(1.95996398454^2)/(4*E9))/E9))/(1+(1.95996398454^2)/E9)</x:f>
        <x:v>0.06647710295326875</x:v>
      </x:c>
      <x:c r="H9" s="90" t="n">
        <x:f>((C9/E9)+(1.95996398454^2)/(2*E9)+1.95996398454*SQRT(((C9/E9)*(1-C9/E9)+(1.95996398454^2)/(4*E9))/E9))/(1+(1.95996398454^2)/E9)</x:f>
        <x:v>0.0856879924373265</x:v>
      </x:c>
    </x:row>
    <x:row r="10">
      <x:c r="A10" s="67"/>
      <x:c r="B10" s="67"/>
      <x:c r="C10" s="67"/>
      <x:c r="D10" s="67"/>
      <x:c r="E10" s="67"/>
      <x:c r="F10" s="67"/>
      <x:c r="G10" s="67"/>
      <x:c r="H10" s="67"/>
    </x:row>
    <x:row r="11">
      <x:c r="A11" s="67"/>
      <x:c r="B11" s="67"/>
      <x:c r="C11" s="67"/>
      <x:c r="D11" s="67"/>
      <x:c r="E11" s="67"/>
      <x:c r="F11" s="67"/>
      <x:c r="G11" s="67"/>
      <x:c r="H11" s="67"/>
    </x:row>
    <x:row r="12">
      <x:c r="A12" s="76" t="str">
        <x:v>Meta-analysis summary</x:v>
      </x:c>
      <x:c r="B12" s="76"/>
      <x:c r="C12" s="76"/>
      <x:c r="D12" s="76"/>
      <x:c r="E12" s="76"/>
      <x:c r="F12" s="67"/>
      <x:c r="G12" s="67"/>
      <x:c r="H12" s="67"/>
    </x:row>
    <x:row r="13">
      <x:c r="A13" s="96" t="str">
        <x:v>Metric</x:v>
      </x:c>
      <x:c r="B13" s="96" t="str">
        <x:v>Estimate</x:v>
      </x:c>
      <x:c r="C13" s="96" t="str">
        <x:v>Lower 95%</x:v>
      </x:c>
      <x:c r="D13" s="96" t="str">
        <x:v>Upper 95%</x:v>
      </x:c>
      <x:c r="E13" s="96" t="str">
        <x:v>Notes</x:v>
      </x:c>
      <x:c r="F13" s="67"/>
      <x:c r="G13" s="67"/>
      <x:c r="H13" s="67"/>
    </x:row>
    <x:row r="14">
      <x:c r="A14" s="101" t="str">
        <x:v>Primary pooled sensitivity</x:v>
      </x:c>
      <x:c r="B14" s="106" t="n">
        <x:v>0.0759575849401511</x:v>
      </x:c>
      <x:c r="C14" s="106" t="n">
        <x:v>0.0644470939507913</x:v>
      </x:c>
      <x:c r="D14" s="106" t="n">
        <x:v>0.0893276009037853</x:v>
      </x:c>
      <x:c r="E14" s="101" t="str">
        <x:v>Random-effects binomial-logit GLMM; Hartung-Knapp CI</x:v>
      </x:c>
      <x:c r="F14" s="67"/>
      <x:c r="G14" s="67"/>
      <x:c r="H14" s="67"/>
    </x:row>
    <x:row r="15">
      <x:c r="A15" s="102" t="str">
        <x:v>Conventional GLMM interval</x:v>
      </x:c>
      <x:c r="B15" s="107" t="n">
        <x:v>0.0759575849401511</x:v>
      </x:c>
      <x:c r="C15" s="107" t="n">
        <x:v>0.0686628618879264</x:v>
      </x:c>
      <x:c r="D15" s="107" t="n">
        <x:v>0.0839574341929177</x:v>
      </x:c>
      <x:c r="E15" s="102" t="str">
        <x:v>Raw logit SE=0.055527</x:v>
      </x:c>
      <x:c r="F15" s="67"/>
      <x:c r="G15" s="67"/>
      <x:c r="H15" s="67"/>
    </x:row>
    <x:row r="16">
      <x:c r="A16" s="102" t="str">
        <x:v>Prediction interval</x:v>
      </x:c>
      <x:c r="B16" s="107" t="n">
        <x:v>0.0759575849401511</x:v>
      </x:c>
      <x:c r="C16" s="107" t="n">
        <x:v>0.0644470939507913</x:v>
      </x:c>
      <x:c r="D16" s="107" t="n">
        <x:v>0.0893276009037853</x:v>
      </x:c>
      <x:c r="E16" s="102" t="str">
        <x:v>Equals HK interval because estimated tau-squared is zero</x:v>
      </x:c>
      <x:c r="F16" s="67"/>
      <x:c r="G16" s="67"/>
      <x:c r="H16" s="67"/>
    </x:row>
    <x:row r="17">
      <x:c r="A17" s="102" t="str">
        <x:v>Between-study variance (tau-squared)</x:v>
      </x:c>
      <x:c r="B17" s="110" t="n">
        <x:v>0</x:v>
      </x:c>
      <x:c r="C17" s="110"/>
      <x:c r="D17" s="110"/>
      <x:c r="E17" s="102" t="str">
        <x:v>Maximum-likelihood estimate</x:v>
      </x:c>
      <x:c r="F17" s="67"/>
      <x:c r="G17" s="67"/>
      <x:c r="H17" s="67"/>
    </x:row>
    <x:row r="18">
      <x:c r="A18" s="102" t="str">
        <x:v>I-squared</x:v>
      </x:c>
      <x:c r="B18" s="108" t="n">
        <x:v>0.206601805256763</x:v>
      </x:c>
      <x:c r="C18" s="108" t="n">
        <x:v>0</x:v>
      </x:c>
      <x:c r="D18" s="108" t="n">
        <x:v>0.878513568249378</x:v>
      </x:c>
      <x:c r="E18" s="102" t="str">
        <x:v>Q-based heterogeneity statistic; highly imprecise with four studies</x:v>
      </x:c>
      <x:c r="F18" s="67"/>
      <x:c r="G18" s="67"/>
      <x:c r="H18" s="67"/>
    </x:row>
    <x:row r="19">
      <x:c r="A19" s="102" t="str">
        <x:v>Wald heterogeneity Q</x:v>
      </x:c>
      <x:c r="B19" s="111" t="n">
        <x:v>3.78120346110804</x:v>
      </x:c>
      <x:c r="C19" s="111"/>
      <x:c r="D19" s="111" t="n">
        <x:v>0.286080066829022</x:v>
      </x:c>
      <x:c r="E19" s="102" t="str">
        <x:v>df=3; upper column contains p value</x:v>
      </x:c>
      <x:c r="F19" s="67"/>
      <x:c r="G19" s="67"/>
      <x:c r="H19" s="67"/>
    </x:row>
    <x:row r="20">
      <x:c r="A20" s="105" t="str">
        <x:v>Parameter used in prevalence simulation</x:v>
      </x:c>
      <x:c r="B20" s="109" t="n">
        <x:v>0.0759575849401511</x:v>
      </x:c>
      <x:c r="C20" s="109" t="n">
        <x:v>0.0644470939507913</x:v>
      </x:c>
      <x:c r="D20" s="109" t="n">
        <x:v>0.0893276009037853</x:v>
      </x:c>
      <x:c r="E20" s="105" t="str">
        <x:v>Logit-normal calibrated to HK interval: mu=-2.498583, SD=0.090160</x:v>
      </x:c>
      <x:c r="F20" s="67"/>
      <x:c r="G20" s="67"/>
      <x:c r="H20" s="67"/>
    </x:row>
    <x:row r="21">
      <x:c r="A21" s="67"/>
      <x:c r="B21" s="67"/>
      <x:c r="C21" s="67"/>
      <x:c r="D21" s="67"/>
      <x:c r="E21" s="67"/>
      <x:c r="F21" s="67"/>
      <x:c r="G21" s="67"/>
      <x:c r="H21" s="67"/>
    </x:row>
    <x:row r="22">
      <x:c r="A22" s="67"/>
      <x:c r="B22" s="67"/>
      <x:c r="C22" s="67"/>
      <x:c r="D22" s="67"/>
      <x:c r="E22" s="67"/>
      <x:c r="F22" s="67"/>
      <x:c r="G22" s="67"/>
      <x:c r="H22" s="67"/>
    </x:row>
    <x:row r="23">
      <x:c r="A23" s="76" t="str">
        <x:v>Interpretation and model linkage</x:v>
      </x:c>
      <x:c r="B23" s="76"/>
      <x:c r="C23" s="76"/>
      <x:c r="D23" s="76"/>
      <x:c r="E23" s="76"/>
      <x:c r="F23" s="76"/>
      <x:c r="G23" s="76"/>
      <x:c r="H23" s="76"/>
    </x:row>
    <x:row r="24" ht="34" customHeight="1">
      <x:c r="A24" s="115" t="str">
        <x:v>Only four studies are included because the supplied table contains four rows, although five studies were mentioned previously.</x:v>
      </x:c>
      <x:c r="B24" s="115"/>
      <x:c r="C24" s="115"/>
      <x:c r="D24" s="115"/>
      <x:c r="E24" s="115"/>
      <x:c r="F24" s="115"/>
      <x:c r="G24" s="115"/>
      <x:c r="H24" s="115"/>
    </x:row>
    <x:row r="25" ht="34" customHeight="1">
      <x:c r="A25" s="119" t="str">
        <x:v>The literature endpoint is mapped to PRENEC low_risk (non-advanced adenoma). This changes Low risk adenomas and the aggregate Adenomas_r only.</x:v>
      </x:c>
      <x:c r="B25" s="119"/>
      <x:c r="C25" s="119"/>
      <x:c r="D25" s="119"/>
      <x:c r="E25" s="119"/>
      <x:c r="F25" s="119"/>
      <x:c r="G25" s="119"/>
      <x:c r="H25" s="119"/>
    </x:row>
    <x:row r="26" ht="34" customHeight="1">
      <x:c r="A26" s="115" t="str">
        <x:v>All other FIT sensitivities, adherence, colonoscopy sensitivity, lesion counts, populations, and model equations remain unchanged.</x:v>
      </x:c>
      <x:c r="B26" s="115"/>
      <x:c r="C26" s="115"/>
      <x:c r="D26" s="115"/>
      <x:c r="E26" s="115"/>
      <x:c r="F26" s="115"/>
      <x:c r="G26" s="115"/>
      <x:c r="H26" s="115"/>
    </x:row>
    <x:row r="27" ht="34" customHeight="1">
      <x:c r="A27" s="119" t="str">
        <x:v>The script meta_analisis_sensibilidad_fit_non_advanced.R is the reproducible source for the pooled estimate. Verify original reports before manuscript submission.</x:v>
      </x:c>
      <x:c r="B27" s="119"/>
      <x:c r="C27" s="119"/>
      <x:c r="D27" s="119"/>
      <x:c r="E27" s="119"/>
      <x:c r="F27" s="119"/>
      <x:c r="G27" s="119"/>
      <x:c r="H27" s="119"/>
    </x:row>
    <x:row r="28">
      <x:c r="A28" s="67"/>
      <x:c r="B28" s="67"/>
      <x:c r="C28" s="67"/>
      <x:c r="D28" s="67"/>
      <x:c r="E28" s="67"/>
      <x:c r="F28" s="67"/>
      <x:c r="G28" s="67"/>
      <x:c r="H28" s="67"/>
    </x:row>
    <x:row r="29">
      <x:c r="A29" s="67"/>
      <x:c r="B29" s="67"/>
      <x:c r="C29" s="67"/>
      <x:c r="D29" s="67"/>
      <x:c r="E29" s="67"/>
      <x:c r="F29" s="67"/>
      <x:c r="G29" s="67"/>
      <x:c r="H29" s="67"/>
    </x:row>
    <x:row r="30">
      <x:c r="A30" s="67"/>
      <x:c r="B30" s="67"/>
      <x:c r="C30" s="67"/>
      <x:c r="D30" s="67"/>
      <x:c r="E30" s="67"/>
      <x:c r="F30" s="67"/>
      <x:c r="G30" s="67"/>
      <x:c r="H30" s="67"/>
    </x:row>
    <x:row r="31">
      <x:c r="A31" s="67"/>
      <x:c r="B31" s="67"/>
      <x:c r="C31" s="67"/>
      <x:c r="D31" s="67"/>
      <x:c r="E31" s="67"/>
      <x:c r="F31" s="67"/>
      <x:c r="G31" s="67"/>
      <x:c r="H31" s="67"/>
    </x:row>
    <x:row r="32">
      <x:c r="A32" s="67"/>
      <x:c r="B32" s="67"/>
      <x:c r="C32" s="67"/>
      <x:c r="D32" s="67"/>
      <x:c r="E32" s="67"/>
      <x:c r="F32" s="67"/>
      <x:c r="G32" s="67"/>
      <x:c r="H32" s="67"/>
    </x:row>
    <x:row r="33">
      <x:c r="A33" s="67"/>
      <x:c r="B33" s="67"/>
      <x:c r="C33" s="67"/>
      <x:c r="D33" s="67"/>
      <x:c r="E33" s="67"/>
      <x:c r="F33" s="67"/>
      <x:c r="G33" s="67"/>
      <x:c r="H33" s="67"/>
    </x:row>
    <x:row r="34">
      <x:c r="A34" s="67"/>
      <x:c r="B34" s="67"/>
      <x:c r="C34" s="67"/>
      <x:c r="D34" s="67"/>
      <x:c r="E34" s="67"/>
      <x:c r="F34" s="67"/>
      <x:c r="G34" s="67"/>
      <x:c r="H34" s="67"/>
    </x:row>
    <x:row r="35">
      <x:c r="A35" s="67"/>
      <x:c r="B35" s="67"/>
      <x:c r="C35" s="67"/>
      <x:c r="D35" s="67"/>
      <x:c r="E35" s="67"/>
      <x:c r="F35" s="67"/>
      <x:c r="G35" s="67"/>
      <x:c r="H35" s="67"/>
    </x:row>
    <x:row r="36">
      <x:c r="A36" s="67"/>
      <x:c r="B36" s="67"/>
      <x:c r="C36" s="67"/>
      <x:c r="D36" s="67"/>
      <x:c r="E36" s="67"/>
      <x:c r="F36" s="67"/>
      <x:c r="G36" s="67"/>
      <x:c r="H36" s="67"/>
    </x:row>
    <x:row r="37">
      <x:c r="A37" s="67"/>
      <x:c r="B37" s="67"/>
      <x:c r="C37" s="67"/>
      <x:c r="D37" s="67"/>
      <x:c r="E37" s="67"/>
      <x:c r="F37" s="67"/>
      <x:c r="G37" s="67"/>
      <x:c r="H37" s="67"/>
    </x:row>
    <x:row r="38">
      <x:c r="A38" s="67"/>
      <x:c r="B38" s="67"/>
      <x:c r="C38" s="67"/>
      <x:c r="D38" s="67"/>
      <x:c r="E38" s="67"/>
      <x:c r="F38" s="67"/>
      <x:c r="G38" s="67"/>
      <x:c r="H38" s="67"/>
    </x:row>
    <x:row r="39">
      <x:c r="A39" s="67"/>
      <x:c r="B39" s="67"/>
      <x:c r="C39" s="67"/>
      <x:c r="D39" s="67"/>
      <x:c r="E39" s="67"/>
      <x:c r="F39" s="67"/>
      <x:c r="G39" s="67"/>
      <x:c r="H39" s="67"/>
    </x:row>
    <x:row r="40">
      <x:c r="A40" s="67"/>
      <x:c r="B40" s="67"/>
      <x:c r="C40" s="67"/>
      <x:c r="D40" s="67"/>
      <x:c r="E40" s="67"/>
      <x:c r="F40" s="67"/>
      <x:c r="G40" s="67"/>
      <x:c r="H40" s="67"/>
    </x:row>
    <x:row r="41">
      <x:c r="A41" s="67"/>
      <x:c r="B41" s="67"/>
      <x:c r="C41" s="67"/>
      <x:c r="D41" s="67"/>
      <x:c r="E41" s="67"/>
      <x:c r="F41" s="67"/>
      <x:c r="G41" s="67"/>
      <x:c r="H41" s="67"/>
    </x:row>
    <x:row r="42">
      <x:c r="A42" s="67"/>
      <x:c r="B42" s="67"/>
      <x:c r="C42" s="67"/>
      <x:c r="D42" s="67"/>
      <x:c r="E42" s="67"/>
      <x:c r="F42" s="67"/>
      <x:c r="G42" s="67"/>
      <x:c r="H42" s="67"/>
    </x:row>
    <x:row r="43">
      <x:c r="A43" s="67"/>
      <x:c r="B43" s="67"/>
      <x:c r="C43" s="67"/>
      <x:c r="D43" s="67"/>
      <x:c r="E43" s="67"/>
      <x:c r="F43" s="67"/>
      <x:c r="G43" s="67"/>
      <x:c r="H43" s="67"/>
    </x:row>
    <x:row r="44">
      <x:c r="A44" s="67"/>
      <x:c r="B44" s="67"/>
      <x:c r="C44" s="67"/>
      <x:c r="D44" s="67"/>
      <x:c r="E44" s="67"/>
      <x:c r="F44" s="67"/>
      <x:c r="G44" s="67"/>
      <x:c r="H44" s="67"/>
    </x:row>
    <x:row r="45">
      <x:c r="A45" s="67"/>
      <x:c r="B45" s="67"/>
      <x:c r="C45" s="67"/>
      <x:c r="D45" s="67"/>
      <x:c r="E45" s="67"/>
      <x:c r="F45" s="67"/>
      <x:c r="G45" s="67"/>
      <x:c r="H45" s="67"/>
    </x:row>
    <x:row r="46">
      <x:c r="A46" s="67"/>
      <x:c r="B46" s="67"/>
      <x:c r="C46" s="67"/>
      <x:c r="D46" s="67"/>
      <x:c r="E46" s="67"/>
      <x:c r="F46" s="67"/>
      <x:c r="G46" s="67"/>
      <x:c r="H46" s="67"/>
    </x:row>
    <x:row r="47">
      <x:c r="A47" s="67"/>
      <x:c r="B47" s="67"/>
      <x:c r="C47" s="67"/>
      <x:c r="D47" s="67"/>
      <x:c r="E47" s="67"/>
      <x:c r="F47" s="67"/>
      <x:c r="G47" s="67"/>
      <x:c r="H47" s="67"/>
    </x:row>
    <x:row r="48">
      <x:c r="A48" s="67"/>
      <x:c r="B48" s="67"/>
      <x:c r="C48" s="67"/>
      <x:c r="D48" s="67"/>
      <x:c r="E48" s="67"/>
      <x:c r="F48" s="67"/>
      <x:c r="G48" s="67"/>
      <x:c r="H48" s="67"/>
    </x:row>
    <x:row r="49">
      <x:c r="A49" s="67"/>
      <x:c r="B49" s="67"/>
      <x:c r="C49" s="67"/>
      <x:c r="D49" s="67"/>
      <x:c r="E49" s="67"/>
      <x:c r="F49" s="67"/>
      <x:c r="G49" s="67"/>
      <x:c r="H49" s="67"/>
    </x:row>
    <x:row r="50">
      <x:c r="A50" s="67"/>
      <x:c r="B50" s="67"/>
      <x:c r="C50" s="67"/>
      <x:c r="D50" s="67"/>
      <x:c r="E50" s="67"/>
      <x:c r="F50" s="67"/>
      <x:c r="G50" s="67"/>
      <x:c r="H50" s="67"/>
    </x:row>
  </x:sheetData>
  <x:mergeCells>
    <x:mergeCell ref="A1:H1"/>
    <x:mergeCell ref="A2:H2"/>
    <x:mergeCell ref="A4:H4"/>
    <x:mergeCell ref="A12:E12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  <x:tableParts count="2">
    <x:tablePart xmlns:r="http://schemas.openxmlformats.org/officeDocument/2006/relationships" r:id="Rc243da66bd3b4ce0"/>
    <x:tablePart xmlns:r="http://schemas.openxmlformats.org/officeDocument/2006/relationships" r:id="R20a305ec6e6e4a0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8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20" t="str">
        <x:v>Modelled prevalence of non-advanced adenoma under alternative FIT sensitivity assumptions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</x:row>
    <x:row r="2">
      <x:c r="A2" s="72" t="str">
        <x:v>PRENEC-derived FIT sensitivity versus four-study literature meta-analysis; adherence and colonoscopy sensitivity held constant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</x:row>
    <x:row r="4">
      <x:c r="A4" s="96" t="str">
        <x:v>Analysis</x:v>
      </x:c>
      <x:c r="B4" s="96" t="str">
        <x:v>Base</x:v>
      </x:c>
      <x:c r="C4" s="96" t="str">
        <x:v>Sex</x:v>
      </x:c>
      <x:c r="D4" s="96" t="str">
        <x:v>Population</x:v>
      </x:c>
      <x:c r="E4" s="96" t="str">
        <x:v>PRENEC mean</x:v>
      </x:c>
      <x:c r="F4" s="96" t="str">
        <x:v>PRENEC 95% UI lower</x:v>
      </x:c>
      <x:c r="G4" s="96" t="str">
        <x:v>PRENEC 95% UI upper</x:v>
      </x:c>
      <x:c r="H4" s="96" t="str">
        <x:v>Literature mean</x:v>
      </x:c>
      <x:c r="I4" s="96" t="str">
        <x:v>Literature 95% UI lower</x:v>
      </x:c>
      <x:c r="J4" s="96" t="str">
        <x:v>Literature 95% UI upper</x:v>
      </x:c>
      <x:c r="K4" s="96" t="str">
        <x:v>Change (pp)</x:v>
      </x:c>
      <x:c r="L4" s="96" t="str">
        <x:v>Change lower (pp)</x:v>
      </x:c>
      <x:c r="M4" s="96" t="str">
        <x:v>Change upper (pp)</x:v>
      </x:c>
    </x:row>
    <x:row r="5">
      <x:c r="A5" s="85" t="str">
        <x:v>A_Total</x:v>
      </x:c>
      <x:c r="B5" s="85" t="str">
        <x:v>A</x:v>
      </x:c>
      <x:c r="C5" s="85" t="str">
        <x:v>Both sexes</x:v>
      </x:c>
      <x:c r="D5" s="85" t="n">
        <x:v>34241</x:v>
      </x:c>
      <x:c r="E5" s="122" t="n">
        <x:v>0.26101630509388</x:v>
      </x:c>
      <x:c r="F5" s="122" t="n">
        <x:v>0.115420907391801</x:v>
      </x:c>
      <x:c r="G5" s="122" t="n">
        <x:v>0.441370467849505</x:v>
      </x:c>
      <x:c r="H5" s="128" t="n">
        <x:v>0.235215502983337</x:v>
      </x:c>
      <x:c r="I5" s="128" t="n">
        <x:v>0.122608595569544</x:v>
      </x:c>
      <x:c r="J5" s="128" t="n">
        <x:v>0.361629577513273</x:v>
      </x:c>
      <x:c r="K5" s="129" t="n">
        <x:v>-2.58008021105437</x:v>
      </x:c>
      <x:c r="L5" s="129" t="n">
        <x:v>-15.5014754345819</x:v>
      </x:c>
      <x:c r="M5" s="129" t="n">
        <x:v>8.76757776921132</x:v>
      </x:c>
    </x:row>
    <x:row r="6">
      <x:c r="A6" s="86" t="str">
        <x:v>A_Hombres</x:v>
      </x:c>
      <x:c r="B6" s="86" t="str">
        <x:v>A</x:v>
      </x:c>
      <x:c r="C6" s="86" t="str">
        <x:v>Men</x:v>
      </x:c>
      <x:c r="D6" s="86" t="n">
        <x:v>9227</x:v>
      </x:c>
      <x:c r="E6" s="123" t="n">
        <x:v>0.363433645744154</x:v>
      </x:c>
      <x:c r="F6" s="123" t="n">
        <x:v>0.0973819613294332</x:v>
      </x:c>
      <x:c r="G6" s="123" t="n">
        <x:v>0.698541594670194</x:v>
      </x:c>
      <x:c r="H6" s="130" t="n">
        <x:v>0.328789924400234</x:v>
      </x:c>
      <x:c r="I6" s="130" t="n">
        <x:v>0.0935420088801877</x:v>
      </x:c>
      <x:c r="J6" s="130" t="n">
        <x:v>0.593051372350839</x:v>
      </x:c>
      <x:c r="K6" s="131" t="n">
        <x:v>-3.46437213439205</x:v>
      </x:c>
      <x:c r="L6" s="131" t="n">
        <x:v>-23.4614616465907</x:v>
      </x:c>
      <x:c r="M6" s="131" t="n">
        <x:v>12.4307823457384</x:v>
      </x:c>
    </x:row>
    <x:row r="7">
      <x:c r="A7" s="86" t="str">
        <x:v>A_Mujeres</x:v>
      </x:c>
      <x:c r="B7" s="86" t="str">
        <x:v>A</x:v>
      </x:c>
      <x:c r="C7" s="86" t="str">
        <x:v>Women</x:v>
      </x:c>
      <x:c r="D7" s="86" t="n">
        <x:v>25014</x:v>
      </x:c>
      <x:c r="E7" s="123" t="n">
        <x:v>0.220529636796845</x:v>
      </x:c>
      <x:c r="F7" s="123" t="n">
        <x:v>0.0753936105426516</x:v>
      </x:c>
      <x:c r="G7" s="123" t="n">
        <x:v>0.384643649631718</x:v>
      </x:c>
      <x:c r="H7" s="130" t="n">
        <x:v>0.199643934881646</x:v>
      </x:c>
      <x:c r="I7" s="130" t="n">
        <x:v>0.0832656327680457</x:v>
      </x:c>
      <x:c r="J7" s="130" t="n">
        <x:v>0.323189170668921</x:v>
      </x:c>
      <x:c r="K7" s="131" t="n">
        <x:v>-2.08857019151995</x:v>
      </x:c>
      <x:c r="L7" s="131" t="n">
        <x:v>-13.2688770239992</x:v>
      </x:c>
      <x:c r="M7" s="131" t="n">
        <x:v>7.60610779683082</x:v>
      </x:c>
    </x:row>
    <x:row r="8">
      <x:c r="A8" s="86" t="str">
        <x:v>B_Total</x:v>
      </x:c>
      <x:c r="B8" s="86" t="str">
        <x:v>B</x:v>
      </x:c>
      <x:c r="C8" s="86" t="str">
        <x:v>Both sexes</x:v>
      </x:c>
      <x:c r="D8" s="86" t="n">
        <x:v>34241</x:v>
      </x:c>
      <x:c r="E8" s="123" t="n">
        <x:v>0.256352360495687</x:v>
      </x:c>
      <x:c r="F8" s="123" t="n">
        <x:v>0.113741805990116</x:v>
      </x:c>
      <x:c r="G8" s="123" t="n">
        <x:v>0.43400390175339</x:v>
      </x:c>
      <x:c r="H8" s="130" t="n">
        <x:v>0.230588333280301</x:v>
      </x:c>
      <x:c r="I8" s="130" t="n">
        <x:v>0.120944524398576</x:v>
      </x:c>
      <x:c r="J8" s="130" t="n">
        <x:v>0.353360121249929</x:v>
      </x:c>
      <x:c r="K8" s="131" t="n">
        <x:v>-2.57640272153863</x:v>
      </x:c>
      <x:c r="L8" s="131" t="n">
        <x:v>-15.4833738330039</x:v>
      </x:c>
      <x:c r="M8" s="131" t="n">
        <x:v>8.10059235987983</x:v>
      </x:c>
    </x:row>
    <x:row r="9">
      <x:c r="A9" s="86" t="str">
        <x:v>B_Hombres</x:v>
      </x:c>
      <x:c r="B9" s="86" t="str">
        <x:v>B</x:v>
      </x:c>
      <x:c r="C9" s="86" t="str">
        <x:v>Men</x:v>
      </x:c>
      <x:c r="D9" s="86" t="n">
        <x:v>9227</x:v>
      </x:c>
      <x:c r="E9" s="123" t="n">
        <x:v>0.350019575260517</x:v>
      </x:c>
      <x:c r="F9" s="123" t="n">
        <x:v>0.0966154438709206</x:v>
      </x:c>
      <x:c r="G9" s="123" t="n">
        <x:v>0.678969433912139</x:v>
      </x:c>
      <x:c r="H9" s="130" t="n">
        <x:v>0.315346286211677</x:v>
      </x:c>
      <x:c r="I9" s="130" t="n">
        <x:v>0.0931816677677314</x:v>
      </x:c>
      <x:c r="J9" s="130" t="n">
        <x:v>0.573029674372092</x:v>
      </x:c>
      <x:c r="K9" s="131" t="n">
        <x:v>-3.467328904884</x:v>
      </x:c>
      <x:c r="L9" s="131" t="n">
        <x:v>-22.3965720169841</x:v>
      </x:c>
      <x:c r="M9" s="131" t="n">
        <x:v>11.9990482038759</x:v>
      </x:c>
    </x:row>
    <x:row r="10">
      <x:c r="A10" s="121" t="str">
        <x:v>B_Mujeres</x:v>
      </x:c>
      <x:c r="B10" s="121" t="str">
        <x:v>B</x:v>
      </x:c>
      <x:c r="C10" s="121" t="str">
        <x:v>Women</x:v>
      </x:c>
      <x:c r="D10" s="121" t="n">
        <x:v>25014</x:v>
      </x:c>
      <x:c r="E10" s="124" t="n">
        <x:v>0.220227190489032</x:v>
      </x:c>
      <x:c r="F10" s="124" t="n">
        <x:v>0.079927533916982</x:v>
      </x:c>
      <x:c r="G10" s="124" t="n">
        <x:v>0.395913185851023</x:v>
      </x:c>
      <x:c r="H10" s="132" t="n">
        <x:v>0.198435059901084</x:v>
      </x:c>
      <x:c r="I10" s="132" t="n">
        <x:v>0.0836663945109569</x:v>
      </x:c>
      <x:c r="J10" s="132" t="n">
        <x:v>0.329136928632624</x:v>
      </x:c>
      <x:c r="K10" s="133" t="n">
        <x:v>-2.17921305879474</x:v>
      </x:c>
      <x:c r="L10" s="133" t="n">
        <x:v>-13.2794230977313</x:v>
      </x:c>
      <x:c r="M10" s="133" t="n">
        <x:v>7.46096424000888</x:v>
      </x:c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</x:row>
    <x:row r="13" ht="38" customHeight="1">
      <x:c r="A13" s="137" t="str">
        <x:v>Intervals are empirical 95% uncertainty intervals from the simulation. The paired interval for the change crosses zero in every sex/base subgroup; this analysis does not establish a conclusive reduction.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</x:row>
    <x:row r="15" ht="34" customHeight="1">
      <x:c r="A15" s="115" t="str">
        <x:v>Interpretation assumes that the literature non-advanced adenoma endpoint is clinically comparable to PRENEC low_risk. Confirm definitions in the original articles before publication.</x:v>
      </x:c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</x:row>
  </x:sheetData>
  <x:mergeCells>
    <x:mergeCell ref="A1:M1"/>
    <x:mergeCell ref="A2:M2"/>
    <x:mergeCell ref="A13:M13"/>
    <x:mergeCell ref="A15:M15"/>
  </x:mergeCells>
  <x:pageMargins left="0.7" right="0.7" top="0.75" bottom="0.75" header="0.3" footer="0.3"/>
  <x:tableParts count="1">
    <x:tablePart xmlns:r="http://schemas.openxmlformats.org/officeDocument/2006/relationships" r:id="Re2b729efa4934c74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140" t="str">
        <x:v>FIT sensitivity for any adenoma: four-study meta-analysis</x:v>
      </x:c>
      <x:c r="B1" s="140"/>
      <x:c r="C1" s="140"/>
      <x:c r="D1" s="140"/>
      <x:c r="E1" s="140"/>
      <x:c r="F1" s="140"/>
      <x:c r="G1" s="140"/>
      <x:c r="H1" s="140"/>
      <x:c r="I1" s="140"/>
    </x:row>
    <x:row r="2" ht="31" customHeight="1">
      <x:c r="A2" s="144" t="str">
        <x:v>OC-Sensor at 100 ng Hb/mL · per-patient model input · original citations and outcome definitions require confirmation before publication</x:v>
      </x:c>
      <x:c r="B2" s="144"/>
      <x:c r="C2" s="144"/>
      <x:c r="D2" s="144"/>
      <x:c r="E2" s="144"/>
      <x:c r="F2" s="144"/>
      <x:c r="G2" s="144"/>
      <x:c r="H2" s="144"/>
      <x:c r="I2" s="144"/>
    </x:row>
    <x:row r="3">
      <x:c r="A3" s="193"/>
      <x:c r="B3" s="193"/>
      <x:c r="C3" s="193"/>
      <x:c r="D3" s="193"/>
      <x:c r="E3" s="193"/>
      <x:c r="F3" s="193"/>
      <x:c r="G3" s="193"/>
      <x:c r="H3" s="193"/>
      <x:c r="I3" s="193"/>
    </x:row>
    <x:row r="4">
      <x:c r="A4" s="147" t="str">
        <x:v>Study-level inputs and Wilson intervals</x:v>
      </x:c>
      <x:c r="B4" s="147"/>
      <x:c r="C4" s="147"/>
      <x:c r="D4" s="147"/>
      <x:c r="E4" s="147"/>
      <x:c r="F4" s="147"/>
      <x:c r="G4" s="147"/>
      <x:c r="H4" s="147"/>
      <x:c r="I4" s="147"/>
    </x:row>
    <x:row r="5">
      <x:c r="A5" s="151" t="str">
        <x:v>Study</x:v>
      </x:c>
      <x:c r="B5" s="151" t="str">
        <x:v>Cut-off (ng/mL)</x:v>
      </x:c>
      <x:c r="C5" s="151" t="str">
        <x:v>TP</x:v>
      </x:c>
      <x:c r="D5" s="151" t="str">
        <x:v>FN</x:v>
      </x:c>
      <x:c r="E5" s="151" t="str">
        <x:v>Total cases</x:v>
      </x:c>
      <x:c r="F5" s="151" t="str">
        <x:v>Sensitivity</x:v>
      </x:c>
      <x:c r="G5" s="151" t="str">
        <x:v>Wilson 95% lower</x:v>
      </x:c>
      <x:c r="H5" s="151" t="str">
        <x:v>Wilson 95% upper</x:v>
      </x:c>
      <x:c r="I5" s="151" t="str">
        <x:v>Count status</x:v>
      </x:c>
    </x:row>
    <x:row r="6">
      <x:c r="A6" s="152" t="str">
        <x:v>Park 2010</x:v>
      </x:c>
      <x:c r="B6" s="152" t="n">
        <x:v>100</x:v>
      </x:c>
      <x:c r="C6" s="229" t="n">
        <x:v>40</x:v>
      </x:c>
      <x:c r="D6" s="229" t="n">
        <x:v>238</x:v>
      </x:c>
      <x:c r="E6" s="229" t="n">
        <x:v>278</x:v>
      </x:c>
      <x:c r="F6" s="153" t="n">
        <x:v>0.143884892086331</x:v>
      </x:c>
      <x:c r="G6" s="153" t="n">
        <x:v>0.107455763641216</x:v>
      </x:c>
      <x:c r="H6" s="153" t="n">
        <x:v>0.189978058511642</x:v>
      </x:c>
      <x:c r="I6" s="152" t="str">
        <x:v>Supplied counts; verify article</x:v>
      </x:c>
    </x:row>
    <x:row r="7">
      <x:c r="A7" s="152" t="str">
        <x:v>Chang 2017</x:v>
      </x:c>
      <x:c r="B7" s="152" t="n">
        <x:v>100</x:v>
      </x:c>
      <x:c r="C7" s="229" t="n">
        <x:v>158</x:v>
      </x:c>
      <x:c r="D7" s="229" t="n">
        <x:v>1435</x:v>
      </x:c>
      <x:c r="E7" s="229" t="n">
        <x:v>1593</x:v>
      </x:c>
      <x:c r="F7" s="153" t="n">
        <x:v>0.0991839296924043</x:v>
      </x:c>
      <x:c r="G7" s="153" t="n">
        <x:v>0.0854490195037935</x:v>
      </x:c>
      <x:c r="H7" s="153" t="n">
        <x:v>0.114871366960997</x:v>
      </x:c>
      <x:c r="I7" s="152" t="str">
        <x:v>Supplied counts; verify article</x:v>
      </x:c>
    </x:row>
    <x:row r="8">
      <x:c r="A8" s="152" t="str">
        <x:v>Imperiale et al. 2014</x:v>
      </x:c>
      <x:c r="B8" s="152" t="n">
        <x:v>100</x:v>
      </x:c>
      <x:c r="C8" s="229" t="n">
        <x:v>400</x:v>
      </x:c>
      <x:c r="D8" s="229" t="n">
        <x:v>3270</x:v>
      </x:c>
      <x:c r="E8" s="229" t="n">
        <x:v>3670</x:v>
      </x:c>
      <x:c r="F8" s="153" t="n">
        <x:v>0.108991825613079</x:v>
      </x:c>
      <x:c r="G8" s="153" t="n">
        <x:v>0.0993037565843415</x:v>
      </x:c>
      <x:c r="H8" s="153" t="n">
        <x:v>0.119500148608648</x:v>
      </x:c>
      <x:c r="I8" s="152" t="str">
        <x:v>Supplied counts; verify article</x:v>
      </x:c>
    </x:row>
    <x:row r="9">
      <x:c r="A9" s="152" t="str">
        <x:v>Omata 2011</x:v>
      </x:c>
      <x:c r="B9" s="152" t="n">
        <x:v>100</x:v>
      </x:c>
      <x:c r="C9" s="229" t="n">
        <x:v>43.23</x:v>
      </x:c>
      <x:c r="D9" s="229" t="n">
        <x:v>349.77</x:v>
      </x:c>
      <x:c r="E9" s="229" t="n">
        <x:v>393</x:v>
      </x:c>
      <x:c r="F9" s="153" t="n">
        <x:v>0.11</x:v>
      </x:c>
      <x:c r="G9" s="153" t="n">
        <x:v>0.0826854087302418</x:v>
      </x:c>
      <x:c r="H9" s="153" t="n">
        <x:v>0.144847344045417</x:v>
      </x:c>
      <x:c r="I9" s="152" t="str">
        <x:v>Reconstructed effective fractional counts</x:v>
      </x:c>
    </x:row>
    <x:row r="10">
      <x:c r="A10" s="193"/>
      <x:c r="B10" s="193"/>
      <x:c r="C10" s="193"/>
      <x:c r="D10" s="193"/>
      <x:c r="E10" s="193"/>
      <x:c r="F10" s="193"/>
      <x:c r="G10" s="193"/>
      <x:c r="H10" s="193"/>
      <x:c r="I10" s="193"/>
    </x:row>
    <x:row r="11">
      <x:c r="A11" s="193"/>
      <x:c r="B11" s="193"/>
      <x:c r="C11" s="193"/>
      <x:c r="D11" s="193"/>
      <x:c r="E11" s="193"/>
      <x:c r="F11" s="193"/>
      <x:c r="G11" s="193"/>
      <x:c r="H11" s="193"/>
      <x:c r="I11" s="193"/>
    </x:row>
    <x:row r="12">
      <x:c r="A12" s="147" t="str">
        <x:v>Meta-analysis summary</x:v>
      </x:c>
      <x:c r="B12" s="147"/>
      <x:c r="C12" s="147"/>
      <x:c r="D12" s="147"/>
      <x:c r="E12" s="147"/>
      <x:c r="F12" s="147"/>
      <x:c r="G12" s="147"/>
      <x:c r="H12" s="147"/>
      <x:c r="I12" s="147"/>
    </x:row>
    <x:row r="13">
      <x:c r="A13" s="228" t="str">
        <x:v>Metric</x:v>
      </x:c>
      <x:c r="B13" s="228" t="str">
        <x:v>Estimate</x:v>
      </x:c>
      <x:c r="C13" s="228" t="str">
        <x:v>Lower 95%</x:v>
      </x:c>
      <x:c r="D13" s="228" t="str">
        <x:v>Upper 95%</x:v>
      </x:c>
      <x:c r="E13" s="228" t="str">
        <x:v>Notes</x:v>
      </x:c>
      <x:c r="F13" s="228"/>
      <x:c r="G13" s="228"/>
      <x:c r="H13" s="228"/>
      <x:c r="I13" s="228"/>
    </x:row>
    <x:row r="14" ht="27" customHeight="1">
      <x:c r="A14" s="164" t="str">
        <x:v>Primary pooled sensitivity</x:v>
      </x:c>
      <x:c r="B14" s="173" t="n">
        <x:v>0.108652458841981</x:v>
      </x:c>
      <x:c r="C14" s="173" t="n">
        <x:v>0.0912171464557271</x:v>
      </x:c>
      <x:c r="D14" s="173" t="n">
        <x:v>0.128947506131068</x:v>
      </x:c>
      <x:c r="E14" s="217" t="str">
        <x:v>Random-effects inverse-variance logit model; REML; Hartung-Knapp CI</x:v>
      </x:c>
      <x:c r="F14" s="218"/>
      <x:c r="G14" s="218"/>
      <x:c r="H14" s="218"/>
      <x:c r="I14" s="218"/>
    </x:row>
    <x:row r="15" ht="27" customHeight="1">
      <x:c r="A15" s="167" t="str">
        <x:v>Prediction interval</x:v>
      </x:c>
      <x:c r="B15" s="174" t="n">
        <x:v>0.108652458841981</x:v>
      </x:c>
      <x:c r="C15" s="174" t="n">
        <x:v>0.0903285912712215</x:v>
      </x:c>
      <x:c r="D15" s="174" t="n">
        <x:v>0.130161595257121</x:v>
      </x:c>
      <x:c r="E15" s="219" t="str">
        <x:v>95% random-effects prediction interval</x:v>
      </x:c>
      <x:c r="F15" s="218"/>
      <x:c r="G15" s="218"/>
      <x:c r="H15" s="218"/>
      <x:c r="I15" s="218"/>
    </x:row>
    <x:row r="16" ht="27" customHeight="1">
      <x:c r="A16" s="167" t="str">
        <x:v>Between-study variance (tau-squared)</x:v>
      </x:c>
      <x:c r="B16" s="168" t="n">
        <x:v>0.00168732565464263</x:v>
      </x:c>
      <x:c r="C16" s="168"/>
      <x:c r="D16" s="168"/>
      <x:c r="E16" s="219" t="str">
        <x:v>REML estimate on the logit scale</x:v>
      </x:c>
      <x:c r="F16" s="218"/>
      <x:c r="G16" s="218"/>
      <x:c r="H16" s="218"/>
      <x:c r="I16" s="218"/>
    </x:row>
    <x:row r="17" ht="27" customHeight="1">
      <x:c r="A17" s="167" t="str">
        <x:v>I-squared</x:v>
      </x:c>
      <x:c r="B17" s="175" t="n">
        <x:v>0.401532977913437</x:v>
      </x:c>
      <x:c r="C17" s="168"/>
      <x:c r="D17" s="168"/>
      <x:c r="E17" s="219" t="str">
        <x:v>Q-based heterogeneity statistic</x:v>
      </x:c>
      <x:c r="F17" s="218"/>
      <x:c r="G17" s="218"/>
      <x:c r="H17" s="218"/>
      <x:c r="I17" s="218"/>
    </x:row>
    <x:row r="18" ht="27" customHeight="1">
      <x:c r="A18" s="167" t="str">
        <x:v>Heterogeneity Q</x:v>
      </x:c>
      <x:c r="B18" s="168" t="n">
        <x:v>5.01280753873532</x:v>
      </x:c>
      <x:c r="C18" s="168" t="n">
        <x:v>3</x:v>
      </x:c>
      <x:c r="D18" s="168" t="n">
        <x:v>0.170861712063807</x:v>
      </x:c>
      <x:c r="E18" s="219" t="str">
        <x:v>Lower column is df; upper column is p value</x:v>
      </x:c>
      <x:c r="F18" s="218"/>
      <x:c r="G18" s="218"/>
      <x:c r="H18" s="218"/>
      <x:c r="I18" s="218"/>
    </x:row>
    <x:row r="19" ht="27" customHeight="1">
      <x:c r="A19" s="167" t="str">
        <x:v>Logit mean</x:v>
      </x:c>
      <x:c r="B19" s="168" t="n">
        <x:v>-2.10458007153705</x:v>
      </x:c>
      <x:c r="C19" s="168"/>
      <x:c r="D19" s="168"/>
      <x:c r="E19" s="219" t="str">
        <x:v>Pooled random-effects location</x:v>
      </x:c>
      <x:c r="F19" s="218"/>
      <x:c r="G19" s="218"/>
      <x:c r="H19" s="218"/>
      <x:c r="I19" s="218"/>
    </x:row>
    <x:row r="20" ht="35" customHeight="1">
      <x:c r="A20" s="183" t="str">
        <x:v>Parameter used in prevalence simulation</x:v>
      </x:c>
      <x:c r="B20" s="184" t="n">
        <x:v>0.108652458841981</x:v>
      </x:c>
      <x:c r="C20" s="184" t="n">
        <x:v>0.0912171464557271</x:v>
      </x:c>
      <x:c r="D20" s="184" t="n">
        <x:v>0.128947506131068</x:v>
      </x:c>
      <x:c r="E20" s="221" t="str">
        <x:v>Logit-normal: mu=-2.104580; SD=0.099126 calibrated to the HK interval</x:v>
      </x:c>
      <x:c r="F20" s="218"/>
      <x:c r="G20" s="218"/>
      <x:c r="H20" s="218"/>
      <x:c r="I20" s="218"/>
    </x:row>
    <x:row r="21">
      <x:c r="A21" s="193"/>
      <x:c r="B21" s="193"/>
      <x:c r="C21" s="193"/>
      <x:c r="D21" s="193"/>
      <x:c r="E21" s="193"/>
      <x:c r="F21" s="193"/>
      <x:c r="G21" s="193"/>
      <x:c r="H21" s="193"/>
      <x:c r="I21" s="193"/>
    </x:row>
    <x:row r="22">
      <x:c r="A22" s="193"/>
      <x:c r="B22" s="193"/>
      <x:c r="C22" s="193"/>
      <x:c r="D22" s="193"/>
      <x:c r="E22" s="193"/>
      <x:c r="F22" s="193"/>
      <x:c r="G22" s="193"/>
      <x:c r="H22" s="193"/>
      <x:c r="I22" s="193"/>
    </x:row>
    <x:row r="23">
      <x:c r="A23" s="147" t="str">
        <x:v>Interpretation and model linkage</x:v>
      </x:c>
      <x:c r="B23" s="147"/>
      <x:c r="C23" s="147"/>
      <x:c r="D23" s="147"/>
      <x:c r="E23" s="147"/>
      <x:c r="F23" s="147"/>
      <x:c r="G23" s="147"/>
      <x:c r="H23" s="147"/>
      <x:c r="I23" s="147"/>
    </x:row>
    <x:row r="24" ht="31" customHeight="1">
      <x:c r="A24" s="188" t="str">
        <x:v>The pooled sensitivity is 10.87% (Hartung-Knapp 95% CI 9.12%–12.89%); it replaces only adenoma_total in the literature sensitivity analysis.</x:v>
      </x:c>
      <x:c r="B24" s="188"/>
      <x:c r="C24" s="188"/>
      <x:c r="D24" s="188"/>
      <x:c r="E24" s="188"/>
      <x:c r="F24" s="188"/>
      <x:c r="G24" s="188"/>
      <x:c r="H24" s="188"/>
      <x:c r="I24" s="188"/>
    </x:row>
    <x:row r="25" ht="31" customHeight="1">
      <x:c r="A25" s="192" t="str">
        <x:v>Any adenoma is a direct per-patient endpoint. It is not constructed by adding small, medium, large, low-risk, or high-risk adenomas.</x:v>
      </x:c>
      <x:c r="B25" s="192"/>
      <x:c r="C25" s="192"/>
      <x:c r="D25" s="192"/>
      <x:c r="E25" s="192"/>
      <x:c r="F25" s="192"/>
      <x:c r="G25" s="192"/>
      <x:c r="H25" s="192"/>
      <x:c r="I25" s="192"/>
    </x:row>
    <x:row r="26" ht="31" customHeight="1">
      <x:c r="A26" s="188" t="str">
        <x:v>Omata 2011 contributes reconstructed effective fractional counts (TP 43.23; FN 349.77), not observed integer counts; the model therefore operates on study-level logits.</x:v>
      </x:c>
      <x:c r="B26" s="188"/>
      <x:c r="C26" s="188"/>
      <x:c r="D26" s="188"/>
      <x:c r="E26" s="188"/>
      <x:c r="F26" s="188"/>
      <x:c r="G26" s="188"/>
      <x:c r="H26" s="188"/>
      <x:c r="I26" s="188"/>
    </x:row>
    <x:row r="27" ht="31" customHeight="1">
      <x:c r="A27" s="192" t="str">
        <x:v>All other FIT sensitivities, adherence, colonoscopy sensitivity, lesion counts, populations, equations, and the eight historical outputs remain unchanged.</x:v>
      </x:c>
      <x:c r="B27" s="192"/>
      <x:c r="C27" s="192"/>
      <x:c r="D27" s="192"/>
      <x:c r="E27" s="192"/>
      <x:c r="F27" s="192"/>
      <x:c r="G27" s="192"/>
      <x:c r="H27" s="192"/>
      <x:c r="I27" s="192"/>
    </x:row>
    <x:row r="28" ht="31" customHeight="1">
      <x:c r="A28" s="188" t="str">
        <x:v>The reproducible source is meta_analisis_sensibilidad_fit_adenoma_total.R. Verify original articles and full citations before manuscript submission.</x:v>
      </x:c>
      <x:c r="B28" s="188"/>
      <x:c r="C28" s="188"/>
      <x:c r="D28" s="188"/>
      <x:c r="E28" s="188"/>
      <x:c r="F28" s="188"/>
      <x:c r="G28" s="188"/>
      <x:c r="H28" s="188"/>
      <x:c r="I28" s="188"/>
    </x:row>
    <x:row r="29">
      <x:c r="A29" s="193"/>
      <x:c r="B29" s="193"/>
      <x:c r="C29" s="193"/>
      <x:c r="D29" s="193"/>
      <x:c r="E29" s="193"/>
      <x:c r="F29" s="193"/>
      <x:c r="G29" s="193"/>
      <x:c r="H29" s="193"/>
      <x:c r="I29" s="193"/>
    </x:row>
  </x:sheetData>
  <x:mergeCells>
    <x:mergeCell ref="A1:I1"/>
    <x:mergeCell ref="A2:I2"/>
    <x:mergeCell ref="A4:I4"/>
    <x:mergeCell ref="A12:I12"/>
    <x:mergeCell ref="A23:I23"/>
    <x:mergeCell ref="A24:I24"/>
    <x:mergeCell ref="A25:I25"/>
    <x:mergeCell ref="A26:I26"/>
    <x:mergeCell ref="A27:I27"/>
    <x:mergeCell ref="A28:I28"/>
    <x:mergeCell ref="E13:I13"/>
    <x:mergeCell ref="E14:I14"/>
    <x:mergeCell ref="E15:I15"/>
    <x:mergeCell ref="E16:I16"/>
    <x:mergeCell ref="E17:I17"/>
    <x:mergeCell ref="E18:I18"/>
    <x:mergeCell ref="E19:I19"/>
    <x:mergeCell ref="E20:I20"/>
  </x:mergeCells>
  <x:pageMargins left="0.7" right="0.7" top="0.75" bottom="0.75" header="0.3" footer="0.3"/>
  <x:tableParts count="1">
    <x:tablePart xmlns:r="http://schemas.openxmlformats.org/officeDocument/2006/relationships" r:id="Rc96689cb5f664ac0"/>
  </x:tableParts>
</x:worksheet>
</file>

<file path=xl/worksheets/sheet8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8" hidden="0" customWidth="1"/>
    <x:col min="3" max="3" width="14" hidden="0" customWidth="1"/>
    <x:col min="4" max="4" width="2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196" t="str">
        <x:v>Modelled prevalence for all lesion categories</x:v>
      </x:c>
      <x:c r="B1" s="196"/>
      <x:c r="C1" s="196"/>
      <x:c r="D1" s="196"/>
      <x:c r="E1" s="196"/>
      <x:c r="F1" s="196"/>
      <x:c r="G1" s="196"/>
      <x:c r="H1" s="196"/>
      <x:c r="I1" s="196"/>
      <x:c r="J1" s="196"/>
      <x:c r="K1" s="196"/>
      <x:c r="L1" s="196"/>
      <x:c r="M1" s="196"/>
      <x:c r="N1" s="196"/>
    </x:row>
    <x:row r="2" ht="31" customHeight="1">
      <x:c r="A2" s="200" t="str">
        <x:v>PRENEC-derived FIT sensitivity versus the four-study any-adenoma literature scenario; only Any adenoma is replaced in that scenario</x:v>
      </x:c>
      <x:c r="B2" s="200"/>
      <x:c r="C2" s="200"/>
      <x:c r="D2" s="200"/>
      <x:c r="E2" s="200"/>
      <x:c r="F2" s="200"/>
      <x:c r="G2" s="200"/>
      <x:c r="H2" s="200"/>
      <x:c r="I2" s="200"/>
      <x:c r="J2" s="200"/>
      <x:c r="K2" s="200"/>
      <x:c r="L2" s="200"/>
      <x:c r="M2" s="200"/>
      <x:c r="N2" s="200"/>
    </x:row>
    <x:row r="4">
      <x:c r="A4" s="204" t="str">
        <x:v>Analysis</x:v>
      </x:c>
      <x:c r="B4" s="204" t="str">
        <x:v>Base</x:v>
      </x:c>
      <x:c r="C4" s="204" t="str">
        <x:v>Sex</x:v>
      </x:c>
      <x:c r="D4" s="204" t="str">
        <x:v>Lesion category</x:v>
      </x:c>
      <x:c r="E4" s="204" t="str">
        <x:v>Population</x:v>
      </x:c>
      <x:c r="F4" s="204" t="str">
        <x:v>PRENEC mean</x:v>
      </x:c>
      <x:c r="G4" s="204" t="str">
        <x:v>PRENEC 95% UI lower</x:v>
      </x:c>
      <x:c r="H4" s="204" t="str">
        <x:v>PRENEC 95% UI upper</x:v>
      </x:c>
      <x:c r="I4" s="204" t="str">
        <x:v>Literature mean</x:v>
      </x:c>
      <x:c r="J4" s="204" t="str">
        <x:v>Literature 95% UI lower</x:v>
      </x:c>
      <x:c r="K4" s="204" t="str">
        <x:v>Literature 95% UI upper</x:v>
      </x:c>
      <x:c r="L4" s="204" t="str">
        <x:v>Change (pp)</x:v>
      </x:c>
      <x:c r="M4" s="204" t="str">
        <x:v>Change lower (pp)</x:v>
      </x:c>
      <x:c r="N4" s="204" t="str">
        <x:v>Change upper (pp)</x:v>
      </x:c>
    </x:row>
    <x:row r="5">
      <x:c r="A5" s="152" t="str">
        <x:v>A_Total</x:v>
      </x:c>
      <x:c r="B5" s="152" t="str">
        <x:v>A</x:v>
      </x:c>
      <x:c r="C5" s="152" t="str">
        <x:v>Both sexes</x:v>
      </x:c>
      <x:c r="D5" s="152" t="str">
        <x:v>Adenomas_s</x:v>
      </x:c>
      <x:c r="E5" s="152" t="n">
        <x:v>34241</x:v>
      </x:c>
      <x:c r="F5" s="205" t="n">
        <x:v>0.366473188463792</x:v>
      </x:c>
      <x:c r="G5" s="205" t="n">
        <x:v>0.203831267776726</x:v>
      </x:c>
      <x:c r="H5" s="205" t="n">
        <x:v>0.567302229193035</x:v>
      </x:c>
      <x:c r="I5" s="206" t="n">
        <x:v>0.366473188463792</x:v>
      </x:c>
      <x:c r="J5" s="206" t="n">
        <x:v>0.203831267776726</x:v>
      </x:c>
      <x:c r="K5" s="206" t="n">
        <x:v>0.567302229193035</x:v>
      </x:c>
      <x:c r="L5" s="207" t="n">
        <x:v>0</x:v>
      </x:c>
      <x:c r="M5" s="207" t="n">
        <x:v>0</x:v>
      </x:c>
      <x:c r="N5" s="207" t="n">
        <x:v>0</x:v>
      </x:c>
    </x:row>
    <x:row r="6">
      <x:c r="A6" s="152" t="str">
        <x:v>A_Total</x:v>
      </x:c>
      <x:c r="B6" s="152" t="str">
        <x:v>A</x:v>
      </x:c>
      <x:c r="C6" s="152" t="str">
        <x:v>Both sexes</x:v>
      </x:c>
      <x:c r="D6" s="152" t="str">
        <x:v>Adenomas_r</x:v>
      </x:c>
      <x:c r="E6" s="152" t="n">
        <x:v>34241</x:v>
      </x:c>
      <x:c r="F6" s="205" t="n">
        <x:v>0.371900304410412</x:v>
      </x:c>
      <x:c r="G6" s="205" t="n">
        <x:v>0.214966800881057</x:v>
      </x:c>
      <x:c r="H6" s="205" t="n">
        <x:v>0.565306475856382</x:v>
      </x:c>
      <x:c r="I6" s="206" t="n">
        <x:v>0.371900304410412</x:v>
      </x:c>
      <x:c r="J6" s="206" t="n">
        <x:v>0.214966800881057</x:v>
      </x:c>
      <x:c r="K6" s="206" t="n">
        <x:v>0.565306475856382</x:v>
      </x:c>
      <x:c r="L6" s="207" t="n">
        <x:v>0</x:v>
      </x:c>
      <x:c r="M6" s="207" t="n">
        <x:v>0</x:v>
      </x:c>
      <x:c r="N6" s="207" t="n">
        <x:v>0</x:v>
      </x:c>
    </x:row>
    <x:row r="7">
      <x:c r="A7" s="152" t="str">
        <x:v>A_Total</x:v>
      </x:c>
      <x:c r="B7" s="152" t="str">
        <x:v>A</x:v>
      </x:c>
      <x:c r="C7" s="152" t="str">
        <x:v>Both sexes</x:v>
      </x:c>
      <x:c r="D7" s="152" t="str">
        <x:v>Small adenomas</x:v>
      </x:c>
      <x:c r="E7" s="152" t="n">
        <x:v>34241</x:v>
      </x:c>
      <x:c r="F7" s="205" t="n">
        <x:v>0.22768567410292</x:v>
      </x:c>
      <x:c r="G7" s="205" t="n">
        <x:v>0.0791886635700788</x:v>
      </x:c>
      <x:c r="H7" s="205" t="n">
        <x:v>0.406161775293255</x:v>
      </x:c>
      <x:c r="I7" s="206" t="n">
        <x:v>0.22768567410292</x:v>
      </x:c>
      <x:c r="J7" s="206" t="n">
        <x:v>0.0791886635700788</x:v>
      </x:c>
      <x:c r="K7" s="206" t="n">
        <x:v>0.406161775293255</x:v>
      </x:c>
      <x:c r="L7" s="207" t="n">
        <x:v>0</x:v>
      </x:c>
      <x:c r="M7" s="207" t="n">
        <x:v>0</x:v>
      </x:c>
      <x:c r="N7" s="207" t="n">
        <x:v>0</x:v>
      </x:c>
    </x:row>
    <x:row r="8">
      <x:c r="A8" s="152" t="str">
        <x:v>A_Total</x:v>
      </x:c>
      <x:c r="B8" s="152" t="str">
        <x:v>A</x:v>
      </x:c>
      <x:c r="C8" s="152" t="str">
        <x:v>Both sexes</x:v>
      </x:c>
      <x:c r="D8" s="152" t="str">
        <x:v>Medium adenomas</x:v>
      </x:c>
      <x:c r="E8" s="152" t="n">
        <x:v>34241</x:v>
      </x:c>
      <x:c r="F8" s="205" t="n">
        <x:v>0.0831164908602643</x:v>
      </x:c>
      <x:c r="G8" s="205" t="n">
        <x:v>0.0299381124373551</x:v>
      </x:c>
      <x:c r="H8" s="205" t="n">
        <x:v>0.146800281559639</x:v>
      </x:c>
      <x:c r="I8" s="206" t="n">
        <x:v>0.0831164908602643</x:v>
      </x:c>
      <x:c r="J8" s="206" t="n">
        <x:v>0.0299381124373551</x:v>
      </x:c>
      <x:c r="K8" s="206" t="n">
        <x:v>0.146800281559639</x:v>
      </x:c>
      <x:c r="L8" s="207" t="n">
        <x:v>0</x:v>
      </x:c>
      <x:c r="M8" s="207" t="n">
        <x:v>0</x:v>
      </x:c>
      <x:c r="N8" s="207" t="n">
        <x:v>0</x:v>
      </x:c>
    </x:row>
    <x:row r="9">
      <x:c r="A9" s="152" t="str">
        <x:v>A_Total</x:v>
      </x:c>
      <x:c r="B9" s="152" t="str">
        <x:v>A</x:v>
      </x:c>
      <x:c r="C9" s="152" t="str">
        <x:v>Both sexes</x:v>
      </x:c>
      <x:c r="D9" s="152" t="str">
        <x:v>Large adenomas</x:v>
      </x:c>
      <x:c r="E9" s="152" t="n">
        <x:v>34241</x:v>
      </x:c>
      <x:c r="F9" s="205" t="n">
        <x:v>0.0556710235006073</x:v>
      </x:c>
      <x:c r="G9" s="205" t="n">
        <x:v>0.0248687141773813</x:v>
      </x:c>
      <x:c r="H9" s="205" t="n">
        <x:v>0.0907512290605414</x:v>
      </x:c>
      <x:c r="I9" s="206" t="n">
        <x:v>0.0556710235006073</x:v>
      </x:c>
      <x:c r="J9" s="206" t="n">
        <x:v>0.0248687141773813</x:v>
      </x:c>
      <x:c r="K9" s="206" t="n">
        <x:v>0.0907512290605414</x:v>
      </x:c>
      <x:c r="L9" s="207" t="n">
        <x:v>0</x:v>
      </x:c>
      <x:c r="M9" s="207" t="n">
        <x:v>0</x:v>
      </x:c>
      <x:c r="N9" s="207" t="n">
        <x:v>0</x:v>
      </x:c>
    </x:row>
    <x:row r="10">
      <x:c r="A10" s="152" t="str">
        <x:v>A_Total</x:v>
      </x:c>
      <x:c r="B10" s="152" t="str">
        <x:v>A</x:v>
      </x:c>
      <x:c r="C10" s="152" t="str">
        <x:v>Both sexes</x:v>
      </x:c>
      <x:c r="D10" s="152" t="str">
        <x:v>Low risk adenomas</x:v>
      </x:c>
      <x:c r="E10" s="152" t="n">
        <x:v>34241</x:v>
      </x:c>
      <x:c r="F10" s="205" t="n">
        <x:v>0.26101630509388</x:v>
      </x:c>
      <x:c r="G10" s="205" t="n">
        <x:v>0.115420907391801</x:v>
      </x:c>
      <x:c r="H10" s="205" t="n">
        <x:v>0.441370467849505</x:v>
      </x:c>
      <x:c r="I10" s="206" t="n">
        <x:v>0.26101630509388</x:v>
      </x:c>
      <x:c r="J10" s="206" t="n">
        <x:v>0.115420907391801</x:v>
      </x:c>
      <x:c r="K10" s="206" t="n">
        <x:v>0.441370467849505</x:v>
      </x:c>
      <x:c r="L10" s="207" t="n">
        <x:v>0</x:v>
      </x:c>
      <x:c r="M10" s="207" t="n">
        <x:v>0</x:v>
      </x:c>
      <x:c r="N10" s="207" t="n">
        <x:v>0</x:v>
      </x:c>
    </x:row>
    <x:row r="11">
      <x:c r="A11" s="152" t="str">
        <x:v>A_Total</x:v>
      </x:c>
      <x:c r="B11" s="152" t="str">
        <x:v>A</x:v>
      </x:c>
      <x:c r="C11" s="152" t="str">
        <x:v>Both sexes</x:v>
      </x:c>
      <x:c r="D11" s="152" t="str">
        <x:v>High risk adenomas</x:v>
      </x:c>
      <x:c r="E11" s="152" t="n">
        <x:v>34241</x:v>
      </x:c>
      <x:c r="F11" s="205" t="n">
        <x:v>0.110883999316532</x:v>
      </x:c>
      <x:c r="G11" s="205" t="n">
        <x:v>0.0583635113879897</x:v>
      </x:c>
      <x:c r="H11" s="205" t="n">
        <x:v>0.171884572976587</x:v>
      </x:c>
      <x:c r="I11" s="206" t="n">
        <x:v>0.110883999316532</x:v>
      </x:c>
      <x:c r="J11" s="206" t="n">
        <x:v>0.0583635113879897</x:v>
      </x:c>
      <x:c r="K11" s="206" t="n">
        <x:v>0.171884572976587</x:v>
      </x:c>
      <x:c r="L11" s="207" t="n">
        <x:v>0</x:v>
      </x:c>
      <x:c r="M11" s="207" t="n">
        <x:v>0</x:v>
      </x:c>
      <x:c r="N11" s="207" t="n">
        <x:v>0</x:v>
      </x:c>
    </x:row>
    <x:row r="12">
      <x:c r="A12" s="152" t="str">
        <x:v>A_Total</x:v>
      </x:c>
      <x:c r="B12" s="152" t="str">
        <x:v>A</x:v>
      </x:c>
      <x:c r="C12" s="152" t="str">
        <x:v>Both sexes</x:v>
      </x:c>
      <x:c r="D12" s="152" t="str">
        <x:v>Cancer</x:v>
      </x:c>
      <x:c r="E12" s="152" t="n">
        <x:v>34241</x:v>
      </x:c>
      <x:c r="F12" s="205" t="n">
        <x:v>0.00300076903301663</x:v>
      </x:c>
      <x:c r="G12" s="205" t="n">
        <x:v>0.000501033203462565</x:v>
      </x:c>
      <x:c r="H12" s="205" t="n">
        <x:v>0.00625160032159135</x:v>
      </x:c>
      <x:c r="I12" s="206" t="n">
        <x:v>0.00300076903301663</x:v>
      </x:c>
      <x:c r="J12" s="206" t="n">
        <x:v>0.000501033203462565</x:v>
      </x:c>
      <x:c r="K12" s="206" t="n">
        <x:v>0.00625160032159135</x:v>
      </x:c>
      <x:c r="L12" s="207" t="n">
        <x:v>0</x:v>
      </x:c>
      <x:c r="M12" s="207" t="n">
        <x:v>0</x:v>
      </x:c>
      <x:c r="N12" s="207" t="n">
        <x:v>0</x:v>
      </x:c>
    </x:row>
    <x:row r="13">
      <x:c r="A13" s="152" t="str">
        <x:v>A_Total</x:v>
      </x:c>
      <x:c r="B13" s="152" t="str">
        <x:v>A</x:v>
      </x:c>
      <x:c r="C13" s="152" t="str">
        <x:v>Both sexes</x:v>
      </x:c>
      <x:c r="D13" s="152" t="str">
        <x:v>Any adenoma</x:v>
      </x:c>
      <x:c r="E13" s="152" t="n">
        <x:v>34241</x:v>
      </x:c>
      <x:c r="F13" s="205" t="n">
        <x:v>0.313098557113338</x:v>
      </x:c>
      <x:c r="G13" s="205" t="n">
        <x:v>0.197325097293256</x:v>
      </x:c>
      <x:c r="H13" s="205" t="n">
        <x:v>0.438399110964645</x:v>
      </x:c>
      <x:c r="I13" s="206" t="n">
        <x:v>0.346614557054353</x:v>
      </x:c>
      <x:c r="J13" s="206" t="n">
        <x:v>0.230601700878794</x:v>
      </x:c>
      <x:c r="K13" s="206" t="n">
        <x:v>0.473838079873307</x:v>
      </x:c>
      <x:c r="L13" s="207" t="n">
        <x:v>3.35159999410151</x:v>
      </x:c>
      <x:c r="M13" s="207" t="n">
        <x:v>-6.12000261552367</x:v>
      </x:c>
      <x:c r="N13" s="207" t="n">
        <x:v>13.6929070522756</x:v>
      </x:c>
    </x:row>
    <x:row r="14">
      <x:c r="A14" s="152" t="str">
        <x:v>A_Hombres</x:v>
      </x:c>
      <x:c r="B14" s="152" t="str">
        <x:v>A</x:v>
      </x:c>
      <x:c r="C14" s="152" t="str">
        <x:v>Men</x:v>
      </x:c>
      <x:c r="D14" s="152" t="str">
        <x:v>Adenomas_s</x:v>
      </x:c>
      <x:c r="E14" s="152" t="n">
        <x:v>9227</x:v>
      </x:c>
      <x:c r="F14" s="205" t="n">
        <x:v>0.501740750015207</x:v>
      </x:c>
      <x:c r="G14" s="205" t="n">
        <x:v>0.197975496807423</x:v>
      </x:c>
      <x:c r="H14" s="205" t="n">
        <x:v>0.842424970875982</x:v>
      </x:c>
      <x:c r="I14" s="206" t="n">
        <x:v>0.501740750015207</x:v>
      </x:c>
      <x:c r="J14" s="206" t="n">
        <x:v>0.197975496807423</x:v>
      </x:c>
      <x:c r="K14" s="206" t="n">
        <x:v>0.842424970875982</x:v>
      </x:c>
      <x:c r="L14" s="207" t="n">
        <x:v>0</x:v>
      </x:c>
      <x:c r="M14" s="207" t="n">
        <x:v>0</x:v>
      </x:c>
      <x:c r="N14" s="207" t="n">
        <x:v>0</x:v>
      </x:c>
    </x:row>
    <x:row r="15">
      <x:c r="A15" s="152" t="str">
        <x:v>A_Hombres</x:v>
      </x:c>
      <x:c r="B15" s="152" t="str">
        <x:v>A</x:v>
      </x:c>
      <x:c r="C15" s="152" t="str">
        <x:v>Men</x:v>
      </x:c>
      <x:c r="D15" s="152" t="str">
        <x:v>Adenomas_r</x:v>
      </x:c>
      <x:c r="E15" s="152" t="n">
        <x:v>9227</x:v>
      </x:c>
      <x:c r="F15" s="205" t="n">
        <x:v>0.526483662420474</x:v>
      </x:c>
      <x:c r="G15" s="205" t="n">
        <x:v>0.217592555646166</x:v>
      </x:c>
      <x:c r="H15" s="205" t="n">
        <x:v>0.874656564958254</x:v>
      </x:c>
      <x:c r="I15" s="206" t="n">
        <x:v>0.526483662420474</x:v>
      </x:c>
      <x:c r="J15" s="206" t="n">
        <x:v>0.217592555646166</x:v>
      </x:c>
      <x:c r="K15" s="206" t="n">
        <x:v>0.874656564958254</x:v>
      </x:c>
      <x:c r="L15" s="207" t="n">
        <x:v>0</x:v>
      </x:c>
      <x:c r="M15" s="207" t="n">
        <x:v>0</x:v>
      </x:c>
      <x:c r="N15" s="207" t="n">
        <x:v>0</x:v>
      </x:c>
    </x:row>
    <x:row r="16">
      <x:c r="A16" s="152" t="str">
        <x:v>A_Hombres</x:v>
      </x:c>
      <x:c r="B16" s="152" t="str">
        <x:v>A</x:v>
      </x:c>
      <x:c r="C16" s="152" t="str">
        <x:v>Men</x:v>
      </x:c>
      <x:c r="D16" s="152" t="str">
        <x:v>Small adenomas</x:v>
      </x:c>
      <x:c r="E16" s="152" t="n">
        <x:v>9227</x:v>
      </x:c>
      <x:c r="F16" s="205" t="n">
        <x:v>0.294537559347395</x:v>
      </x:c>
      <x:c r="G16" s="205" t="n">
        <x:v>0.0467861443334362</x:v>
      </x:c>
      <x:c r="H16" s="205" t="n">
        <x:v>0.597229371565392</x:v>
      </x:c>
      <x:c r="I16" s="206" t="n">
        <x:v>0.294537559347395</x:v>
      </x:c>
      <x:c r="J16" s="206" t="n">
        <x:v>0.0467861443334362</x:v>
      </x:c>
      <x:c r="K16" s="206" t="n">
        <x:v>0.597229371565392</x:v>
      </x:c>
      <x:c r="L16" s="207" t="n">
        <x:v>0</x:v>
      </x:c>
      <x:c r="M16" s="207" t="n">
        <x:v>0</x:v>
      </x:c>
      <x:c r="N16" s="207" t="n">
        <x:v>0</x:v>
      </x:c>
    </x:row>
    <x:row r="17">
      <x:c r="A17" s="152" t="str">
        <x:v>A_Hombres</x:v>
      </x:c>
      <x:c r="B17" s="152" t="str">
        <x:v>A</x:v>
      </x:c>
      <x:c r="C17" s="152" t="str">
        <x:v>Men</x:v>
      </x:c>
      <x:c r="D17" s="152" t="str">
        <x:v>Medium adenomas</x:v>
      </x:c>
      <x:c r="E17" s="152" t="n">
        <x:v>9227</x:v>
      </x:c>
      <x:c r="F17" s="205" t="n">
        <x:v>0.126520445713768</x:v>
      </x:c>
      <x:c r="G17" s="205" t="n">
        <x:v>0.024703458852612</x:v>
      </x:c>
      <x:c r="H17" s="205" t="n">
        <x:v>0.26513475269833</x:v>
      </x:c>
      <x:c r="I17" s="206" t="n">
        <x:v>0.126520445713768</x:v>
      </x:c>
      <x:c r="J17" s="206" t="n">
        <x:v>0.024703458852612</x:v>
      </x:c>
      <x:c r="K17" s="206" t="n">
        <x:v>0.26513475269833</x:v>
      </x:c>
      <x:c r="L17" s="207" t="n">
        <x:v>0</x:v>
      </x:c>
      <x:c r="M17" s="207" t="n">
        <x:v>0</x:v>
      </x:c>
      <x:c r="N17" s="207" t="n">
        <x:v>0</x:v>
      </x:c>
    </x:row>
    <x:row r="18">
      <x:c r="A18" s="152" t="str">
        <x:v>A_Hombres</x:v>
      </x:c>
      <x:c r="B18" s="152" t="str">
        <x:v>A</x:v>
      </x:c>
      <x:c r="C18" s="152" t="str">
        <x:v>Men</x:v>
      </x:c>
      <x:c r="D18" s="152" t="str">
        <x:v>Large adenomas</x:v>
      </x:c>
      <x:c r="E18" s="152" t="n">
        <x:v>9227</x:v>
      </x:c>
      <x:c r="F18" s="205" t="n">
        <x:v>0.0806827449540434</x:v>
      </x:c>
      <x:c r="G18" s="205" t="n">
        <x:v>0.0217803222295469</x:v>
      </x:c>
      <x:c r="H18" s="205" t="n">
        <x:v>0.152370942929373</x:v>
      </x:c>
      <x:c r="I18" s="206" t="n">
        <x:v>0.0806827449540434</x:v>
      </x:c>
      <x:c r="J18" s="206" t="n">
        <x:v>0.0217803222295469</x:v>
      </x:c>
      <x:c r="K18" s="206" t="n">
        <x:v>0.152370942929373</x:v>
      </x:c>
      <x:c r="L18" s="207" t="n">
        <x:v>0</x:v>
      </x:c>
      <x:c r="M18" s="207" t="n">
        <x:v>0</x:v>
      </x:c>
      <x:c r="N18" s="207" t="n">
        <x:v>0</x:v>
      </x:c>
    </x:row>
    <x:row r="19">
      <x:c r="A19" s="152" t="str">
        <x:v>A_Hombres</x:v>
      </x:c>
      <x:c r="B19" s="152" t="str">
        <x:v>A</x:v>
      </x:c>
      <x:c r="C19" s="152" t="str">
        <x:v>Men</x:v>
      </x:c>
      <x:c r="D19" s="152" t="str">
        <x:v>Low risk adenomas</x:v>
      </x:c>
      <x:c r="E19" s="152" t="n">
        <x:v>9227</x:v>
      </x:c>
      <x:c r="F19" s="205" t="n">
        <x:v>0.363433645744154</x:v>
      </x:c>
      <x:c r="G19" s="205" t="n">
        <x:v>0.0973819613294332</x:v>
      </x:c>
      <x:c r="H19" s="205" t="n">
        <x:v>0.698541594670194</x:v>
      </x:c>
      <x:c r="I19" s="206" t="n">
        <x:v>0.363433645744154</x:v>
      </x:c>
      <x:c r="J19" s="206" t="n">
        <x:v>0.0973819613294332</x:v>
      </x:c>
      <x:c r="K19" s="206" t="n">
        <x:v>0.698541594670194</x:v>
      </x:c>
      <x:c r="L19" s="207" t="n">
        <x:v>0</x:v>
      </x:c>
      <x:c r="M19" s="207" t="n">
        <x:v>0</x:v>
      </x:c>
      <x:c r="N19" s="207" t="n">
        <x:v>0</x:v>
      </x:c>
    </x:row>
    <x:row r="20">
      <x:c r="A20" s="152" t="str">
        <x:v>A_Hombres</x:v>
      </x:c>
      <x:c r="B20" s="152" t="str">
        <x:v>A</x:v>
      </x:c>
      <x:c r="C20" s="152" t="str">
        <x:v>Men</x:v>
      </x:c>
      <x:c r="D20" s="152" t="str">
        <x:v>High risk adenomas</x:v>
      </x:c>
      <x:c r="E20" s="152" t="n">
        <x:v>9227</x:v>
      </x:c>
      <x:c r="F20" s="205" t="n">
        <x:v>0.16305001667632</x:v>
      </x:c>
      <x:c r="G20" s="205" t="n">
        <x:v>0.059973091619514</x:v>
      </x:c>
      <x:c r="H20" s="205" t="n">
        <x:v>0.29016965050259</x:v>
      </x:c>
      <x:c r="I20" s="206" t="n">
        <x:v>0.16305001667632</x:v>
      </x:c>
      <x:c r="J20" s="206" t="n">
        <x:v>0.059973091619514</x:v>
      </x:c>
      <x:c r="K20" s="206" t="n">
        <x:v>0.29016965050259</x:v>
      </x:c>
      <x:c r="L20" s="207" t="n">
        <x:v>0</x:v>
      </x:c>
      <x:c r="M20" s="207" t="n">
        <x:v>0</x:v>
      </x:c>
      <x:c r="N20" s="207" t="n">
        <x:v>0</x:v>
      </x:c>
    </x:row>
    <x:row r="21">
      <x:c r="A21" s="152" t="str">
        <x:v>A_Hombres</x:v>
      </x:c>
      <x:c r="B21" s="152" t="str">
        <x:v>A</x:v>
      </x:c>
      <x:c r="C21" s="152" t="str">
        <x:v>Men</x:v>
      </x:c>
      <x:c r="D21" s="152" t="str">
        <x:v>Cancer</x:v>
      </x:c>
      <x:c r="E21" s="152" t="n">
        <x:v>9227</x:v>
      </x:c>
      <x:c r="F21" s="205" t="n">
        <x:v>0.00528447870409168</x:v>
      </x:c>
      <x:c r="G21" s="205" t="n">
        <x:v>0.000370940908386083</x:v>
      </x:c>
      <x:c r="H21" s="205" t="n">
        <x:v>0.0124426630479056</x:v>
      </x:c>
      <x:c r="I21" s="206" t="n">
        <x:v>0.00528447870409168</x:v>
      </x:c>
      <x:c r="J21" s="206" t="n">
        <x:v>0.000370940908386083</x:v>
      </x:c>
      <x:c r="K21" s="206" t="n">
        <x:v>0.0124426630479056</x:v>
      </x:c>
      <x:c r="L21" s="207" t="n">
        <x:v>0</x:v>
      </x:c>
      <x:c r="M21" s="207" t="n">
        <x:v>0</x:v>
      </x:c>
      <x:c r="N21" s="207" t="n">
        <x:v>0</x:v>
      </x:c>
    </x:row>
    <x:row r="22">
      <x:c r="A22" s="152" t="str">
        <x:v>A_Hombres</x:v>
      </x:c>
      <x:c r="B22" s="152" t="str">
        <x:v>A</x:v>
      </x:c>
      <x:c r="C22" s="152" t="str">
        <x:v>Men</x:v>
      </x:c>
      <x:c r="D22" s="152" t="str">
        <x:v>Any adenoma</x:v>
      </x:c>
      <x:c r="E22" s="152" t="n">
        <x:v>9227</x:v>
      </x:c>
      <x:c r="F22" s="205" t="n">
        <x:v>0.448543534595911</x:v>
      </x:c>
      <x:c r="G22" s="205" t="n">
        <x:v>0.226476362382095</x:v>
      </x:c>
      <x:c r="H22" s="205" t="n">
        <x:v>0.700142543884527</x:v>
      </x:c>
      <x:c r="I22" s="206" t="n">
        <x:v>0.497295701408517</x:v>
      </x:c>
      <x:c r="J22" s="206" t="n">
        <x:v>0.242472606033256</x:v>
      </x:c>
      <x:c r="K22" s="206" t="n">
        <x:v>0.749505166158476</x:v>
      </x:c>
      <x:c r="L22" s="207" t="n">
        <x:v>4.87521668126062</x:v>
      </x:c>
      <x:c r="M22" s="207" t="n">
        <x:v>-8.89075847657361</x:v>
      </x:c>
      <x:c r="N22" s="207" t="n">
        <x:v>19.8634981341339</x:v>
      </x:c>
    </x:row>
    <x:row r="23">
      <x:c r="A23" s="152" t="str">
        <x:v>A_Mujeres</x:v>
      </x:c>
      <x:c r="B23" s="152" t="str">
        <x:v>A</x:v>
      </x:c>
      <x:c r="C23" s="152" t="str">
        <x:v>Women</x:v>
      </x:c>
      <x:c r="D23" s="152" t="str">
        <x:v>Adenomas_s</x:v>
      </x:c>
      <x:c r="E23" s="152" t="n">
        <x:v>25014</x:v>
      </x:c>
      <x:c r="F23" s="205" t="n">
        <x:v>0.31396023282848</x:v>
      </x:c>
      <x:c r="G23" s="205" t="n">
        <x:v>0.150389326126994</x:v>
      </x:c>
      <x:c r="H23" s="205" t="n">
        <x:v>0.506805866592082</x:v>
      </x:c>
      <x:c r="I23" s="206" t="n">
        <x:v>0.31396023282848</x:v>
      </x:c>
      <x:c r="J23" s="206" t="n">
        <x:v>0.150389326126994</x:v>
      </x:c>
      <x:c r="K23" s="206" t="n">
        <x:v>0.506805866592082</x:v>
      </x:c>
      <x:c r="L23" s="207" t="n">
        <x:v>0</x:v>
      </x:c>
      <x:c r="M23" s="207" t="n">
        <x:v>0</x:v>
      </x:c>
      <x:c r="N23" s="207" t="n">
        <x:v>0</x:v>
      </x:c>
    </x:row>
    <x:row r="24">
      <x:c r="A24" s="152" t="str">
        <x:v>A_Mujeres</x:v>
      </x:c>
      <x:c r="B24" s="152" t="str">
        <x:v>A</x:v>
      </x:c>
      <x:c r="C24" s="152" t="str">
        <x:v>Women</x:v>
      </x:c>
      <x:c r="D24" s="152" t="str">
        <x:v>Adenomas_r</x:v>
      </x:c>
      <x:c r="E24" s="152" t="n">
        <x:v>25014</x:v>
      </x:c>
      <x:c r="F24" s="205" t="n">
        <x:v>0.313418006344791</x:v>
      </x:c>
      <x:c r="G24" s="205" t="n">
        <x:v>0.159686743362646</x:v>
      </x:c>
      <x:c r="H24" s="205" t="n">
        <x:v>0.494135548725934</x:v>
      </x:c>
      <x:c r="I24" s="206" t="n">
        <x:v>0.313418006344791</x:v>
      </x:c>
      <x:c r="J24" s="206" t="n">
        <x:v>0.159686743362646</x:v>
      </x:c>
      <x:c r="K24" s="206" t="n">
        <x:v>0.494135548725934</x:v>
      </x:c>
      <x:c r="L24" s="207" t="n">
        <x:v>0</x:v>
      </x:c>
      <x:c r="M24" s="207" t="n">
        <x:v>0</x:v>
      </x:c>
      <x:c r="N24" s="207" t="n">
        <x:v>0</x:v>
      </x:c>
    </x:row>
    <x:row r="25">
      <x:c r="A25" s="152" t="str">
        <x:v>A_Mujeres</x:v>
      </x:c>
      <x:c r="B25" s="152" t="str">
        <x:v>A</x:v>
      </x:c>
      <x:c r="C25" s="152" t="str">
        <x:v>Women</x:v>
      </x:c>
      <x:c r="D25" s="152" t="str">
        <x:v>Small adenomas</x:v>
      </x:c>
      <x:c r="E25" s="152" t="n">
        <x:v>25014</x:v>
      </x:c>
      <x:c r="F25" s="205" t="n">
        <x:v>0.200385989797935</x:v>
      </x:c>
      <x:c r="G25" s="205" t="n">
        <x:v>0.0565666154457441</x:v>
      </x:c>
      <x:c r="H25" s="205" t="n">
        <x:v>0.375730403974655</x:v>
      </x:c>
      <x:c r="I25" s="206" t="n">
        <x:v>0.200385989797935</x:v>
      </x:c>
      <x:c r="J25" s="206" t="n">
        <x:v>0.0565666154457441</x:v>
      </x:c>
      <x:c r="K25" s="206" t="n">
        <x:v>0.375730403974655</x:v>
      </x:c>
      <x:c r="L25" s="207" t="n">
        <x:v>0</x:v>
      </x:c>
      <x:c r="M25" s="207" t="n">
        <x:v>0</x:v>
      </x:c>
      <x:c r="N25" s="207" t="n">
        <x:v>0</x:v>
      </x:c>
    </x:row>
    <x:row r="26">
      <x:c r="A26" s="152" t="str">
        <x:v>A_Mujeres</x:v>
      </x:c>
      <x:c r="B26" s="152" t="str">
        <x:v>A</x:v>
      </x:c>
      <x:c r="C26" s="152" t="str">
        <x:v>Women</x:v>
      </x:c>
      <x:c r="D26" s="152" t="str">
        <x:v>Medium adenomas</x:v>
      </x:c>
      <x:c r="E26" s="152" t="n">
        <x:v>25014</x:v>
      </x:c>
      <x:c r="F26" s="205" t="n">
        <x:v>0.0669458913643051</x:v>
      </x:c>
      <x:c r="G26" s="205" t="n">
        <x:v>0.0176897451649263</x:v>
      </x:c>
      <x:c r="H26" s="205" t="n">
        <x:v>0.129057946960024</x:v>
      </x:c>
      <x:c r="I26" s="206" t="n">
        <x:v>0.0669458913643051</x:v>
      </x:c>
      <x:c r="J26" s="206" t="n">
        <x:v>0.0176897451649263</x:v>
      </x:c>
      <x:c r="K26" s="206" t="n">
        <x:v>0.129057946960024</x:v>
      </x:c>
      <x:c r="L26" s="207" t="n">
        <x:v>0</x:v>
      </x:c>
      <x:c r="M26" s="207" t="n">
        <x:v>0</x:v>
      </x:c>
      <x:c r="N26" s="207" t="n">
        <x:v>0</x:v>
      </x:c>
    </x:row>
    <x:row r="27">
      <x:c r="A27" s="152" t="str">
        <x:v>A_Mujeres</x:v>
      </x:c>
      <x:c r="B27" s="152" t="str">
        <x:v>A</x:v>
      </x:c>
      <x:c r="C27" s="152" t="str">
        <x:v>Women</x:v>
      </x:c>
      <x:c r="D27" s="152" t="str">
        <x:v>Large adenomas</x:v>
      </x:c>
      <x:c r="E27" s="152" t="n">
        <x:v>25014</x:v>
      </x:c>
      <x:c r="F27" s="205" t="n">
        <x:v>0.0466283516662396</x:v>
      </x:c>
      <x:c r="G27" s="205" t="n">
        <x:v>0.0173466532512377</x:v>
      </x:c>
      <x:c r="H27" s="205" t="n">
        <x:v>0.0820300896847467</x:v>
      </x:c>
      <x:c r="I27" s="206" t="n">
        <x:v>0.0466283516662396</x:v>
      </x:c>
      <x:c r="J27" s="206" t="n">
        <x:v>0.0173466532512377</x:v>
      </x:c>
      <x:c r="K27" s="206" t="n">
        <x:v>0.0820300896847467</x:v>
      </x:c>
      <x:c r="L27" s="207" t="n">
        <x:v>0</x:v>
      </x:c>
      <x:c r="M27" s="207" t="n">
        <x:v>0</x:v>
      </x:c>
      <x:c r="N27" s="207" t="n">
        <x:v>0</x:v>
      </x:c>
    </x:row>
    <x:row r="28">
      <x:c r="A28" s="152" t="str">
        <x:v>A_Mujeres</x:v>
      </x:c>
      <x:c r="B28" s="152" t="str">
        <x:v>A</x:v>
      </x:c>
      <x:c r="C28" s="152" t="str">
        <x:v>Women</x:v>
      </x:c>
      <x:c r="D28" s="152" t="str">
        <x:v>Low risk adenomas</x:v>
      </x:c>
      <x:c r="E28" s="152" t="n">
        <x:v>25014</x:v>
      </x:c>
      <x:c r="F28" s="205" t="n">
        <x:v>0.220529636796845</x:v>
      </x:c>
      <x:c r="G28" s="205" t="n">
        <x:v>0.0753936105426516</x:v>
      </x:c>
      <x:c r="H28" s="205" t="n">
        <x:v>0.384643649631718</x:v>
      </x:c>
      <x:c r="I28" s="206" t="n">
        <x:v>0.220529636796845</x:v>
      </x:c>
      <x:c r="J28" s="206" t="n">
        <x:v>0.0753936105426516</x:v>
      </x:c>
      <x:c r="K28" s="206" t="n">
        <x:v>0.384643649631718</x:v>
      </x:c>
      <x:c r="L28" s="207" t="n">
        <x:v>0</x:v>
      </x:c>
      <x:c r="M28" s="207" t="n">
        <x:v>0</x:v>
      </x:c>
      <x:c r="N28" s="207" t="n">
        <x:v>0</x:v>
      </x:c>
    </x:row>
    <x:row r="29">
      <x:c r="A29" s="152" t="str">
        <x:v>A_Mujeres</x:v>
      </x:c>
      <x:c r="B29" s="152" t="str">
        <x:v>A</x:v>
      </x:c>
      <x:c r="C29" s="152" t="str">
        <x:v>Women</x:v>
      </x:c>
      <x:c r="D29" s="152" t="str">
        <x:v>High risk adenomas</x:v>
      </x:c>
      <x:c r="E29" s="152" t="n">
        <x:v>25014</x:v>
      </x:c>
      <x:c r="F29" s="205" t="n">
        <x:v>0.0928883695479462</x:v>
      </x:c>
      <x:c r="G29" s="205" t="n">
        <x:v>0.0391955001207021</x:v>
      </x:c>
      <x:c r="H29" s="205" t="n">
        <x:v>0.150181489667742</x:v>
      </x:c>
      <x:c r="I29" s="206" t="n">
        <x:v>0.0928883695479462</x:v>
      </x:c>
      <x:c r="J29" s="206" t="n">
        <x:v>0.0391955001207021</x:v>
      </x:c>
      <x:c r="K29" s="206" t="n">
        <x:v>0.150181489667742</x:v>
      </x:c>
      <x:c r="L29" s="207" t="n">
        <x:v>0</x:v>
      </x:c>
      <x:c r="M29" s="207" t="n">
        <x:v>0</x:v>
      </x:c>
      <x:c r="N29" s="207" t="n">
        <x:v>0</x:v>
      </x:c>
    </x:row>
    <x:row r="30">
      <x:c r="A30" s="152" t="str">
        <x:v>A_Mujeres</x:v>
      </x:c>
      <x:c r="B30" s="152" t="str">
        <x:v>A</x:v>
      </x:c>
      <x:c r="C30" s="152" t="str">
        <x:v>Women</x:v>
      </x:c>
      <x:c r="D30" s="152" t="str">
        <x:v>Cancer</x:v>
      </x:c>
      <x:c r="E30" s="152" t="n">
        <x:v>25014</x:v>
      </x:c>
      <x:c r="F30" s="205" t="n">
        <x:v>0.00214955250708873</x:v>
      </x:c>
      <x:c r="G30" s="205" t="n">
        <x:v>0.000173413260539679</x:v>
      </x:c>
      <x:c r="H30" s="205" t="n">
        <x:v>0.00513699602614732</x:v>
      </x:c>
      <x:c r="I30" s="206" t="n">
        <x:v>0.00214955250708873</x:v>
      </x:c>
      <x:c r="J30" s="206" t="n">
        <x:v>0.000173413260539679</x:v>
      </x:c>
      <x:c r="K30" s="206" t="n">
        <x:v>0.00513699602614732</x:v>
      </x:c>
      <x:c r="L30" s="207" t="n">
        <x:v>0</x:v>
      </x:c>
      <x:c r="M30" s="207" t="n">
        <x:v>0</x:v>
      </x:c>
      <x:c r="N30" s="207" t="n">
        <x:v>0</x:v>
      </x:c>
    </x:row>
    <x:row r="31">
      <x:c r="A31" s="152" t="str">
        <x:v>A_Mujeres</x:v>
      </x:c>
      <x:c r="B31" s="152" t="str">
        <x:v>A</x:v>
      </x:c>
      <x:c r="C31" s="152" t="str">
        <x:v>Women</x:v>
      </x:c>
      <x:c r="D31" s="152" t="str">
        <x:v>Any adenoma</x:v>
      </x:c>
      <x:c r="E31" s="152" t="n">
        <x:v>25014</x:v>
      </x:c>
      <x:c r="F31" s="205" t="n">
        <x:v>0.262710679894794</x:v>
      </x:c>
      <x:c r="G31" s="205" t="n">
        <x:v>0.152072099159729</x:v>
      </x:c>
      <x:c r="H31" s="205" t="n">
        <x:v>0.391780520976339</x:v>
      </x:c>
      <x:c r="I31" s="206" t="n">
        <x:v>0.290534065523203</x:v>
      </x:c>
      <x:c r="J31" s="206" t="n">
        <x:v>0.174620056217236</x:v>
      </x:c>
      <x:c r="K31" s="206" t="n">
        <x:v>0.418346945972018</x:v>
      </x:c>
      <x:c r="L31" s="207" t="n">
        <x:v>2.78233856284085</x:v>
      </x:c>
      <x:c r="M31" s="207" t="n">
        <x:v>-5.40108657787874</x:v>
      </x:c>
      <x:c r="N31" s="207" t="n">
        <x:v>11.3330031772763</x:v>
      </x:c>
    </x:row>
    <x:row r="32">
      <x:c r="A32" s="152" t="str">
        <x:v>B_Total</x:v>
      </x:c>
      <x:c r="B32" s="152" t="str">
        <x:v>B</x:v>
      </x:c>
      <x:c r="C32" s="152" t="str">
        <x:v>Both sexes</x:v>
      </x:c>
      <x:c r="D32" s="152" t="str">
        <x:v>Adenomas_s</x:v>
      </x:c>
      <x:c r="E32" s="152" t="n">
        <x:v>34241</x:v>
      </x:c>
      <x:c r="F32" s="205" t="n">
        <x:v>0.373579598223127</x:v>
      </x:c>
      <x:c r="G32" s="205" t="n">
        <x:v>0.200751295773604</x:v>
      </x:c>
      <x:c r="H32" s="205" t="n">
        <x:v>0.563068491495584</x:v>
      </x:c>
      <x:c r="I32" s="206" t="n">
        <x:v>0.373579598223127</x:v>
      </x:c>
      <x:c r="J32" s="206" t="n">
        <x:v>0.200751295773604</x:v>
      </x:c>
      <x:c r="K32" s="206" t="n">
        <x:v>0.563068491495584</x:v>
      </x:c>
      <x:c r="L32" s="207" t="n">
        <x:v>0</x:v>
      </x:c>
      <x:c r="M32" s="207" t="n">
        <x:v>0</x:v>
      </x:c>
      <x:c r="N32" s="207" t="n">
        <x:v>0</x:v>
      </x:c>
    </x:row>
    <x:row r="33">
      <x:c r="A33" s="152" t="str">
        <x:v>B_Total</x:v>
      </x:c>
      <x:c r="B33" s="152" t="str">
        <x:v>B</x:v>
      </x:c>
      <x:c r="C33" s="152" t="str">
        <x:v>Both sexes</x:v>
      </x:c>
      <x:c r="D33" s="152" t="str">
        <x:v>Adenomas_r</x:v>
      </x:c>
      <x:c r="E33" s="152" t="n">
        <x:v>34241</x:v>
      </x:c>
      <x:c r="F33" s="205" t="n">
        <x:v>0.37254712835082</x:v>
      </x:c>
      <x:c r="G33" s="205" t="n">
        <x:v>0.212186498023232</x:v>
      </x:c>
      <x:c r="H33" s="205" t="n">
        <x:v>0.560356964887227</x:v>
      </x:c>
      <x:c r="I33" s="206" t="n">
        <x:v>0.37254712835082</x:v>
      </x:c>
      <x:c r="J33" s="206" t="n">
        <x:v>0.212186498023232</x:v>
      </x:c>
      <x:c r="K33" s="206" t="n">
        <x:v>0.560356964887227</x:v>
      </x:c>
      <x:c r="L33" s="207" t="n">
        <x:v>0</x:v>
      </x:c>
      <x:c r="M33" s="207" t="n">
        <x:v>0</x:v>
      </x:c>
      <x:c r="N33" s="207" t="n">
        <x:v>0</x:v>
      </x:c>
    </x:row>
    <x:row r="34">
      <x:c r="A34" s="152" t="str">
        <x:v>B_Total</x:v>
      </x:c>
      <x:c r="B34" s="152" t="str">
        <x:v>B</x:v>
      </x:c>
      <x:c r="C34" s="152" t="str">
        <x:v>Both sexes</x:v>
      </x:c>
      <x:c r="D34" s="152" t="str">
        <x:v>Small adenomas</x:v>
      </x:c>
      <x:c r="E34" s="152" t="n">
        <x:v>34241</x:v>
      </x:c>
      <x:c r="F34" s="205" t="n">
        <x:v>0.235037762851037</x:v>
      </x:c>
      <x:c r="G34" s="205" t="n">
        <x:v>0.0903328116878324</x:v>
      </x:c>
      <x:c r="H34" s="205" t="n">
        <x:v>0.419673788520507</x:v>
      </x:c>
      <x:c r="I34" s="206" t="n">
        <x:v>0.235037762851037</x:v>
      </x:c>
      <x:c r="J34" s="206" t="n">
        <x:v>0.0903328116878324</x:v>
      </x:c>
      <x:c r="K34" s="206" t="n">
        <x:v>0.419673788520507</x:v>
      </x:c>
      <x:c r="L34" s="207" t="n">
        <x:v>0</x:v>
      </x:c>
      <x:c r="M34" s="207" t="n">
        <x:v>0</x:v>
      </x:c>
      <x:c r="N34" s="207" t="n">
        <x:v>0</x:v>
      </x:c>
    </x:row>
    <x:row r="35">
      <x:c r="A35" s="152" t="str">
        <x:v>B_Total</x:v>
      </x:c>
      <x:c r="B35" s="152" t="str">
        <x:v>B</x:v>
      </x:c>
      <x:c r="C35" s="152" t="str">
        <x:v>Both sexes</x:v>
      </x:c>
      <x:c r="D35" s="152" t="str">
        <x:v>Medium adenomas</x:v>
      </x:c>
      <x:c r="E35" s="152" t="n">
        <x:v>34241</x:v>
      </x:c>
      <x:c r="F35" s="205" t="n">
        <x:v>0.0809598437162298</x:v>
      </x:c>
      <x:c r="G35" s="205" t="n">
        <x:v>0.0286631862996527</x:v>
      </x:c>
      <x:c r="H35" s="205" t="n">
        <x:v>0.144379339492473</x:v>
      </x:c>
      <x:c r="I35" s="206" t="n">
        <x:v>0.0809598437162298</x:v>
      </x:c>
      <x:c r="J35" s="206" t="n">
        <x:v>0.0286631862996527</x:v>
      </x:c>
      <x:c r="K35" s="206" t="n">
        <x:v>0.144379339492473</x:v>
      </x:c>
      <x:c r="L35" s="207" t="n">
        <x:v>0</x:v>
      </x:c>
      <x:c r="M35" s="207" t="n">
        <x:v>0</x:v>
      </x:c>
      <x:c r="N35" s="207" t="n">
        <x:v>0</x:v>
      </x:c>
    </x:row>
    <x:row r="36">
      <x:c r="A36" s="152" t="str">
        <x:v>B_Total</x:v>
      </x:c>
      <x:c r="B36" s="152" t="str">
        <x:v>B</x:v>
      </x:c>
      <x:c r="C36" s="152" t="str">
        <x:v>Both sexes</x:v>
      </x:c>
      <x:c r="D36" s="152" t="str">
        <x:v>Large adenomas</x:v>
      </x:c>
      <x:c r="E36" s="152" t="n">
        <x:v>34241</x:v>
      </x:c>
      <x:c r="F36" s="205" t="n">
        <x:v>0.0575819916558593</x:v>
      </x:c>
      <x:c r="G36" s="205" t="n">
        <x:v>0.0266436418395107</x:v>
      </x:c>
      <x:c r="H36" s="205" t="n">
        <x:v>0.0924509764973644</x:v>
      </x:c>
      <x:c r="I36" s="206" t="n">
        <x:v>0.0575819916558593</x:v>
      </x:c>
      <x:c r="J36" s="206" t="n">
        <x:v>0.0266436418395107</x:v>
      </x:c>
      <x:c r="K36" s="206" t="n">
        <x:v>0.0924509764973644</x:v>
      </x:c>
      <x:c r="L36" s="207" t="n">
        <x:v>0</x:v>
      </x:c>
      <x:c r="M36" s="207" t="n">
        <x:v>0</x:v>
      </x:c>
      <x:c r="N36" s="207" t="n">
        <x:v>0</x:v>
      </x:c>
    </x:row>
    <x:row r="37">
      <x:c r="A37" s="152" t="str">
        <x:v>B_Total</x:v>
      </x:c>
      <x:c r="B37" s="152" t="str">
        <x:v>B</x:v>
      </x:c>
      <x:c r="C37" s="152" t="str">
        <x:v>Both sexes</x:v>
      </x:c>
      <x:c r="D37" s="152" t="str">
        <x:v>Low risk adenomas</x:v>
      </x:c>
      <x:c r="E37" s="152" t="n">
        <x:v>34241</x:v>
      </x:c>
      <x:c r="F37" s="205" t="n">
        <x:v>0.256352360495687</x:v>
      </x:c>
      <x:c r="G37" s="205" t="n">
        <x:v>0.113741805990116</x:v>
      </x:c>
      <x:c r="H37" s="205" t="n">
        <x:v>0.43400390175339</x:v>
      </x:c>
      <x:c r="I37" s="206" t="n">
        <x:v>0.256352360495687</x:v>
      </x:c>
      <x:c r="J37" s="206" t="n">
        <x:v>0.113741805990116</x:v>
      </x:c>
      <x:c r="K37" s="206" t="n">
        <x:v>0.43400390175339</x:v>
      </x:c>
      <x:c r="L37" s="207" t="n">
        <x:v>0</x:v>
      </x:c>
      <x:c r="M37" s="207" t="n">
        <x:v>0</x:v>
      </x:c>
      <x:c r="N37" s="207" t="n">
        <x:v>0</x:v>
      </x:c>
    </x:row>
    <x:row r="38">
      <x:c r="A38" s="152" t="str">
        <x:v>B_Total</x:v>
      </x:c>
      <x:c r="B38" s="152" t="str">
        <x:v>B</x:v>
      </x:c>
      <x:c r="C38" s="152" t="str">
        <x:v>Both sexes</x:v>
      </x:c>
      <x:c r="D38" s="152" t="str">
        <x:v>High risk adenomas</x:v>
      </x:c>
      <x:c r="E38" s="152" t="n">
        <x:v>34241</x:v>
      </x:c>
      <x:c r="F38" s="205" t="n">
        <x:v>0.116194767855133</x:v>
      </x:c>
      <x:c r="G38" s="205" t="n">
        <x:v>0.0598122984541832</x:v>
      </x:c>
      <x:c r="H38" s="205" t="n">
        <x:v>0.178598040181625</x:v>
      </x:c>
      <x:c r="I38" s="206" t="n">
        <x:v>0.116194767855133</x:v>
      </x:c>
      <x:c r="J38" s="206" t="n">
        <x:v>0.0598122984541832</x:v>
      </x:c>
      <x:c r="K38" s="206" t="n">
        <x:v>0.178598040181625</x:v>
      </x:c>
      <x:c r="L38" s="207" t="n">
        <x:v>0</x:v>
      </x:c>
      <x:c r="M38" s="207" t="n">
        <x:v>0</x:v>
      </x:c>
      <x:c r="N38" s="207" t="n">
        <x:v>0</x:v>
      </x:c>
    </x:row>
    <x:row r="39">
      <x:c r="A39" s="152" t="str">
        <x:v>B_Total</x:v>
      </x:c>
      <x:c r="B39" s="152" t="str">
        <x:v>B</x:v>
      </x:c>
      <x:c r="C39" s="152" t="str">
        <x:v>Both sexes</x:v>
      </x:c>
      <x:c r="D39" s="152" t="str">
        <x:v>Cancer</x:v>
      </x:c>
      <x:c r="E39" s="152" t="n">
        <x:v>34241</x:v>
      </x:c>
      <x:c r="F39" s="205" t="n">
        <x:v>0.0028187813653872</x:v>
      </x:c>
      <x:c r="G39" s="205" t="n">
        <x:v>0.000447778112990387</x:v>
      </x:c>
      <x:c r="H39" s="205" t="n">
        <x:v>0.00593298477202942</x:v>
      </x:c>
      <x:c r="I39" s="206" t="n">
        <x:v>0.0028187813653872</x:v>
      </x:c>
      <x:c r="J39" s="206" t="n">
        <x:v>0.000447778112990387</x:v>
      </x:c>
      <x:c r="K39" s="206" t="n">
        <x:v>0.00593298477202942</x:v>
      </x:c>
      <x:c r="L39" s="207" t="n">
        <x:v>0</x:v>
      </x:c>
      <x:c r="M39" s="207" t="n">
        <x:v>0</x:v>
      </x:c>
      <x:c r="N39" s="207" t="n">
        <x:v>0</x:v>
      </x:c>
    </x:row>
    <x:row r="40">
      <x:c r="A40" s="152" t="str">
        <x:v>B_Total</x:v>
      </x:c>
      <x:c r="B40" s="152" t="str">
        <x:v>B</x:v>
      </x:c>
      <x:c r="C40" s="152" t="str">
        <x:v>Both sexes</x:v>
      </x:c>
      <x:c r="D40" s="152" t="str">
        <x:v>Any adenoma</x:v>
      </x:c>
      <x:c r="E40" s="152" t="n">
        <x:v>34241</x:v>
      </x:c>
      <x:c r="F40" s="205" t="n">
        <x:v>0.319402345301773</x:v>
      </x:c>
      <x:c r="G40" s="205" t="n">
        <x:v>0.204103494386553</x:v>
      </x:c>
      <x:c r="H40" s="205" t="n">
        <x:v>0.447419435448828</x:v>
      </x:c>
      <x:c r="I40" s="206" t="n">
        <x:v>0.354155716881344</x:v>
      </x:c>
      <x:c r="J40" s="206" t="n">
        <x:v>0.232726322122455</x:v>
      </x:c>
      <x:c r="K40" s="206" t="n">
        <x:v>0.479069807094771</x:v>
      </x:c>
      <x:c r="L40" s="207" t="n">
        <x:v>3.47533715795703</x:v>
      </x:c>
      <x:c r="M40" s="207" t="n">
        <x:v>-6.63303203790855</x:v>
      </x:c>
      <x:c r="N40" s="207" t="n">
        <x:v>13.4958854400755</x:v>
      </x:c>
    </x:row>
    <x:row r="41">
      <x:c r="A41" s="152" t="str">
        <x:v>B_Hombres</x:v>
      </x:c>
      <x:c r="B41" s="152" t="str">
        <x:v>B</x:v>
      </x:c>
      <x:c r="C41" s="152" t="str">
        <x:v>Men</x:v>
      </x:c>
      <x:c r="D41" s="152" t="str">
        <x:v>Adenomas_s</x:v>
      </x:c>
      <x:c r="E41" s="152" t="n">
        <x:v>9227</x:v>
      </x:c>
      <x:c r="F41" s="205" t="n">
        <x:v>0.49864158854028</x:v>
      </x:c>
      <x:c r="G41" s="205" t="n">
        <x:v>0.217018797426422</x:v>
      </x:c>
      <x:c r="H41" s="205" t="n">
        <x:v>0.844934163902388</x:v>
      </x:c>
      <x:c r="I41" s="206" t="n">
        <x:v>0.49864158854028</x:v>
      </x:c>
      <x:c r="J41" s="206" t="n">
        <x:v>0.217018797426422</x:v>
      </x:c>
      <x:c r="K41" s="206" t="n">
        <x:v>0.844934163902388</x:v>
      </x:c>
      <x:c r="L41" s="207" t="n">
        <x:v>0</x:v>
      </x:c>
      <x:c r="M41" s="207" t="n">
        <x:v>0</x:v>
      </x:c>
      <x:c r="N41" s="207" t="n">
        <x:v>0</x:v>
      </x:c>
    </x:row>
    <x:row r="42">
      <x:c r="A42" s="152" t="str">
        <x:v>B_Hombres</x:v>
      </x:c>
      <x:c r="B42" s="152" t="str">
        <x:v>B</x:v>
      </x:c>
      <x:c r="C42" s="152" t="str">
        <x:v>Men</x:v>
      </x:c>
      <x:c r="D42" s="152" t="str">
        <x:v>Adenomas_r</x:v>
      </x:c>
      <x:c r="E42" s="152" t="n">
        <x:v>9227</x:v>
      </x:c>
      <x:c r="F42" s="205" t="n">
        <x:v>0.512933422501847</x:v>
      </x:c>
      <x:c r="G42" s="205" t="n">
        <x:v>0.229388463513163</x:v>
      </x:c>
      <x:c r="H42" s="205" t="n">
        <x:v>0.866284282674734</x:v>
      </x:c>
      <x:c r="I42" s="206" t="n">
        <x:v>0.512933422501847</x:v>
      </x:c>
      <x:c r="J42" s="206" t="n">
        <x:v>0.229388463513163</x:v>
      </x:c>
      <x:c r="K42" s="206" t="n">
        <x:v>0.866284282674734</x:v>
      </x:c>
      <x:c r="L42" s="207" t="n">
        <x:v>0</x:v>
      </x:c>
      <x:c r="M42" s="207" t="n">
        <x:v>0</x:v>
      </x:c>
      <x:c r="N42" s="207" t="n">
        <x:v>0</x:v>
      </x:c>
    </x:row>
    <x:row r="43">
      <x:c r="A43" s="152" t="str">
        <x:v>B_Hombres</x:v>
      </x:c>
      <x:c r="B43" s="152" t="str">
        <x:v>B</x:v>
      </x:c>
      <x:c r="C43" s="152" t="str">
        <x:v>Men</x:v>
      </x:c>
      <x:c r="D43" s="152" t="str">
        <x:v>Small adenomas</x:v>
      </x:c>
      <x:c r="E43" s="152" t="n">
        <x:v>9227</x:v>
      </x:c>
      <x:c r="F43" s="205" t="n">
        <x:v>0.292894325488989</x:v>
      </x:c>
      <x:c r="G43" s="205" t="n">
        <x:v>0.0496618796598123</x:v>
      </x:c>
      <x:c r="H43" s="205" t="n">
        <x:v>0.598911096718933</x:v>
      </x:c>
      <x:c r="I43" s="206" t="n">
        <x:v>0.292894325488989</x:v>
      </x:c>
      <x:c r="J43" s="206" t="n">
        <x:v>0.0496618796598123</x:v>
      </x:c>
      <x:c r="K43" s="206" t="n">
        <x:v>0.598911096718933</x:v>
      </x:c>
      <x:c r="L43" s="207" t="n">
        <x:v>0</x:v>
      </x:c>
      <x:c r="M43" s="207" t="n">
        <x:v>0</x:v>
      </x:c>
      <x:c r="N43" s="207" t="n">
        <x:v>0</x:v>
      </x:c>
    </x:row>
    <x:row r="44">
      <x:c r="A44" s="152" t="str">
        <x:v>B_Hombres</x:v>
      </x:c>
      <x:c r="B44" s="152" t="str">
        <x:v>B</x:v>
      </x:c>
      <x:c r="C44" s="152" t="str">
        <x:v>Men</x:v>
      </x:c>
      <x:c r="D44" s="152" t="str">
        <x:v>Medium adenomas</x:v>
      </x:c>
      <x:c r="E44" s="152" t="n">
        <x:v>9227</x:v>
      </x:c>
      <x:c r="F44" s="205" t="n">
        <x:v>0.122631103449287</x:v>
      </x:c>
      <x:c r="G44" s="205" t="n">
        <x:v>0.0265809924174858</x:v>
      </x:c>
      <x:c r="H44" s="205" t="n">
        <x:v>0.252189202724726</x:v>
      </x:c>
      <x:c r="I44" s="206" t="n">
        <x:v>0.122631103449287</x:v>
      </x:c>
      <x:c r="J44" s="206" t="n">
        <x:v>0.0265809924174858</x:v>
      </x:c>
      <x:c r="K44" s="206" t="n">
        <x:v>0.252189202724726</x:v>
      </x:c>
      <x:c r="L44" s="207" t="n">
        <x:v>0</x:v>
      </x:c>
      <x:c r="M44" s="207" t="n">
        <x:v>0</x:v>
      </x:c>
      <x:c r="N44" s="207" t="n">
        <x:v>0</x:v>
      </x:c>
    </x:row>
    <x:row r="45">
      <x:c r="A45" s="152" t="str">
        <x:v>B_Hombres</x:v>
      </x:c>
      <x:c r="B45" s="152" t="str">
        <x:v>B</x:v>
      </x:c>
      <x:c r="C45" s="152" t="str">
        <x:v>Men</x:v>
      </x:c>
      <x:c r="D45" s="152" t="str">
        <x:v>Large adenomas</x:v>
      </x:c>
      <x:c r="E45" s="152" t="n">
        <x:v>9227</x:v>
      </x:c>
      <x:c r="F45" s="205" t="n">
        <x:v>0.0831161596020045</x:v>
      </x:c>
      <x:c r="G45" s="205" t="n">
        <x:v>0.0266318107325253</x:v>
      </x:c>
      <x:c r="H45" s="205" t="n">
        <x:v>0.159787683388083</x:v>
      </x:c>
      <x:c r="I45" s="206" t="n">
        <x:v>0.0831161596020045</x:v>
      </x:c>
      <x:c r="J45" s="206" t="n">
        <x:v>0.0266318107325253</x:v>
      </x:c>
      <x:c r="K45" s="206" t="n">
        <x:v>0.159787683388083</x:v>
      </x:c>
      <x:c r="L45" s="207" t="n">
        <x:v>0</x:v>
      </x:c>
      <x:c r="M45" s="207" t="n">
        <x:v>0</x:v>
      </x:c>
      <x:c r="N45" s="207" t="n">
        <x:v>0</x:v>
      </x:c>
    </x:row>
    <x:row r="46">
      <x:c r="A46" s="152" t="str">
        <x:v>B_Hombres</x:v>
      </x:c>
      <x:c r="B46" s="152" t="str">
        <x:v>B</x:v>
      </x:c>
      <x:c r="C46" s="152" t="str">
        <x:v>Men</x:v>
      </x:c>
      <x:c r="D46" s="152" t="str">
        <x:v>Low risk adenomas</x:v>
      </x:c>
      <x:c r="E46" s="152" t="n">
        <x:v>9227</x:v>
      </x:c>
      <x:c r="F46" s="205" t="n">
        <x:v>0.350019575260517</x:v>
      </x:c>
      <x:c r="G46" s="205" t="n">
        <x:v>0.0966154438709206</x:v>
      </x:c>
      <x:c r="H46" s="205" t="n">
        <x:v>0.678969433912139</x:v>
      </x:c>
      <x:c r="I46" s="206" t="n">
        <x:v>0.350019575260517</x:v>
      </x:c>
      <x:c r="J46" s="206" t="n">
        <x:v>0.0966154438709206</x:v>
      </x:c>
      <x:c r="K46" s="206" t="n">
        <x:v>0.678969433912139</x:v>
      </x:c>
      <x:c r="L46" s="207" t="n">
        <x:v>0</x:v>
      </x:c>
      <x:c r="M46" s="207" t="n">
        <x:v>0</x:v>
      </x:c>
      <x:c r="N46" s="207" t="n">
        <x:v>0</x:v>
      </x:c>
    </x:row>
    <x:row r="47">
      <x:c r="A47" s="152" t="str">
        <x:v>B_Hombres</x:v>
      </x:c>
      <x:c r="B47" s="152" t="str">
        <x:v>B</x:v>
      </x:c>
      <x:c r="C47" s="152" t="str">
        <x:v>Men</x:v>
      </x:c>
      <x:c r="D47" s="152" t="str">
        <x:v>High risk adenomas</x:v>
      </x:c>
      <x:c r="E47" s="152" t="n">
        <x:v>9227</x:v>
      </x:c>
      <x:c r="F47" s="205" t="n">
        <x:v>0.16291384724133</x:v>
      </x:c>
      <x:c r="G47" s="205" t="n">
        <x:v>0.0617769869693999</x:v>
      </x:c>
      <x:c r="H47" s="205" t="n">
        <x:v>0.292544502108787</x:v>
      </x:c>
      <x:c r="I47" s="206" t="n">
        <x:v>0.16291384724133</x:v>
      </x:c>
      <x:c r="J47" s="206" t="n">
        <x:v>0.0617769869693999</x:v>
      </x:c>
      <x:c r="K47" s="206" t="n">
        <x:v>0.292544502108787</x:v>
      </x:c>
      <x:c r="L47" s="207" t="n">
        <x:v>0</x:v>
      </x:c>
      <x:c r="M47" s="207" t="n">
        <x:v>0</x:v>
      </x:c>
      <x:c r="N47" s="207" t="n">
        <x:v>0</x:v>
      </x:c>
    </x:row>
    <x:row r="48">
      <x:c r="A48" s="152" t="str">
        <x:v>B_Hombres</x:v>
      </x:c>
      <x:c r="B48" s="152" t="str">
        <x:v>B</x:v>
      </x:c>
      <x:c r="C48" s="152" t="str">
        <x:v>Men</x:v>
      </x:c>
      <x:c r="D48" s="152" t="str">
        <x:v>Cancer</x:v>
      </x:c>
      <x:c r="E48" s="152" t="n">
        <x:v>9227</x:v>
      </x:c>
      <x:c r="F48" s="205" t="n">
        <x:v>0.00551295354378124</x:v>
      </x:c>
      <x:c r="G48" s="205" t="n">
        <x:v>0.000418265180336358</x:v>
      </x:c>
      <x:c r="H48" s="205" t="n">
        <x:v>0.0128336869932159</x:v>
      </x:c>
      <x:c r="I48" s="206" t="n">
        <x:v>0.00551295354378124</x:v>
      </x:c>
      <x:c r="J48" s="206" t="n">
        <x:v>0.000418265180336358</x:v>
      </x:c>
      <x:c r="K48" s="206" t="n">
        <x:v>0.0128336869932159</x:v>
      </x:c>
      <x:c r="L48" s="207" t="n">
        <x:v>0</x:v>
      </x:c>
      <x:c r="M48" s="207" t="n">
        <x:v>0</x:v>
      </x:c>
      <x:c r="N48" s="207" t="n">
        <x:v>0</x:v>
      </x:c>
    </x:row>
    <x:row r="49">
      <x:c r="A49" s="152" t="str">
        <x:v>B_Hombres</x:v>
      </x:c>
      <x:c r="B49" s="152" t="str">
        <x:v>B</x:v>
      </x:c>
      <x:c r="C49" s="152" t="str">
        <x:v>Men</x:v>
      </x:c>
      <x:c r="D49" s="152" t="str">
        <x:v>Any adenoma</x:v>
      </x:c>
      <x:c r="E49" s="152" t="n">
        <x:v>9227</x:v>
      </x:c>
      <x:c r="F49" s="205" t="n">
        <x:v>0.440687923263669</x:v>
      </x:c>
      <x:c r="G49" s="205" t="n">
        <x:v>0.222079291567205</x:v>
      </x:c>
      <x:c r="H49" s="205" t="n">
        <x:v>0.699595308226419</x:v>
      </x:c>
      <x:c r="I49" s="206" t="n">
        <x:v>0.486997128309148</x:v>
      </x:c>
      <x:c r="J49" s="206" t="n">
        <x:v>0.2430848433693</x:v>
      </x:c>
      <x:c r="K49" s="206" t="n">
        <x:v>0.744967561438632</x:v>
      </x:c>
      <x:c r="L49" s="207" t="n">
        <x:v>4.63092050454792</x:v>
      </x:c>
      <x:c r="M49" s="207" t="n">
        <x:v>-9.20001719266717</x:v>
      </x:c>
      <x:c r="N49" s="207" t="n">
        <x:v>19.4030360234865</x:v>
      </x:c>
    </x:row>
    <x:row r="50">
      <x:c r="A50" s="152" t="str">
        <x:v>B_Mujeres</x:v>
      </x:c>
      <x:c r="B50" s="152" t="str">
        <x:v>B</x:v>
      </x:c>
      <x:c r="C50" s="152" t="str">
        <x:v>Women</x:v>
      </x:c>
      <x:c r="D50" s="152" t="str">
        <x:v>Adenomas_s</x:v>
      </x:c>
      <x:c r="E50" s="152" t="n">
        <x:v>25014</x:v>
      </x:c>
      <x:c r="F50" s="205" t="n">
        <x:v>0.327363307824695</x:v>
      </x:c>
      <x:c r="G50" s="205" t="n">
        <x:v>0.153545328124348</x:v>
      </x:c>
      <x:c r="H50" s="205" t="n">
        <x:v>0.522542241229934</x:v>
      </x:c>
      <x:c r="I50" s="206" t="n">
        <x:v>0.327363307824695</x:v>
      </x:c>
      <x:c r="J50" s="206" t="n">
        <x:v>0.153545328124348</x:v>
      </x:c>
      <x:c r="K50" s="206" t="n">
        <x:v>0.522542241229934</x:v>
      </x:c>
      <x:c r="L50" s="207" t="n">
        <x:v>0</x:v>
      </x:c>
      <x:c r="M50" s="207" t="n">
        <x:v>0</x:v>
      </x:c>
      <x:c r="N50" s="207" t="n">
        <x:v>0</x:v>
      </x:c>
    </x:row>
    <x:row r="51">
      <x:c r="A51" s="152" t="str">
        <x:v>B_Mujeres</x:v>
      </x:c>
      <x:c r="B51" s="152" t="str">
        <x:v>B</x:v>
      </x:c>
      <x:c r="C51" s="152" t="str">
        <x:v>Women</x:v>
      </x:c>
      <x:c r="D51" s="152" t="str">
        <x:v>Adenomas_r</x:v>
      </x:c>
      <x:c r="E51" s="152" t="n">
        <x:v>25014</x:v>
      </x:c>
      <x:c r="F51" s="205" t="n">
        <x:v>0.320193397790877</x:v>
      </x:c>
      <x:c r="G51" s="205" t="n">
        <x:v>0.166765611695967</x:v>
      </x:c>
      <x:c r="H51" s="205" t="n">
        <x:v>0.505470604324829</x:v>
      </x:c>
      <x:c r="I51" s="206" t="n">
        <x:v>0.320193397790877</x:v>
      </x:c>
      <x:c r="J51" s="206" t="n">
        <x:v>0.166765611695967</x:v>
      </x:c>
      <x:c r="K51" s="206" t="n">
        <x:v>0.505470604324829</x:v>
      </x:c>
      <x:c r="L51" s="207" t="n">
        <x:v>0</x:v>
      </x:c>
      <x:c r="M51" s="207" t="n">
        <x:v>0</x:v>
      </x:c>
      <x:c r="N51" s="207" t="n">
        <x:v>0</x:v>
      </x:c>
    </x:row>
    <x:row r="52">
      <x:c r="A52" s="152" t="str">
        <x:v>B_Mujeres</x:v>
      </x:c>
      <x:c r="B52" s="152" t="str">
        <x:v>B</x:v>
      </x:c>
      <x:c r="C52" s="152" t="str">
        <x:v>Women</x:v>
      </x:c>
      <x:c r="D52" s="152" t="str">
        <x:v>Small adenomas</x:v>
      </x:c>
      <x:c r="E52" s="152" t="n">
        <x:v>25014</x:v>
      </x:c>
      <x:c r="F52" s="205" t="n">
        <x:v>0.21269977121779</x:v>
      </x:c>
      <x:c r="G52" s="205" t="n">
        <x:v>0.0654992741249294</x:v>
      </x:c>
      <x:c r="H52" s="205" t="n">
        <x:v>0.395878052055834</x:v>
      </x:c>
      <x:c r="I52" s="206" t="n">
        <x:v>0.21269977121779</x:v>
      </x:c>
      <x:c r="J52" s="206" t="n">
        <x:v>0.0654992741249294</x:v>
      </x:c>
      <x:c r="K52" s="206" t="n">
        <x:v>0.395878052055834</x:v>
      </x:c>
      <x:c r="L52" s="207" t="n">
        <x:v>0</x:v>
      </x:c>
      <x:c r="M52" s="207" t="n">
        <x:v>0</x:v>
      </x:c>
      <x:c r="N52" s="207" t="n">
        <x:v>0</x:v>
      </x:c>
    </x:row>
    <x:row r="53">
      <x:c r="A53" s="152" t="str">
        <x:v>B_Mujeres</x:v>
      </x:c>
      <x:c r="B53" s="152" t="str">
        <x:v>B</x:v>
      </x:c>
      <x:c r="C53" s="152" t="str">
        <x:v>Women</x:v>
      </x:c>
      <x:c r="D53" s="152" t="str">
        <x:v>Medium adenomas</x:v>
      </x:c>
      <x:c r="E53" s="152" t="n">
        <x:v>25014</x:v>
      </x:c>
      <x:c r="F53" s="205" t="n">
        <x:v>0.0663069509194947</x:v>
      </x:c>
      <x:c r="G53" s="205" t="n">
        <x:v>0.0185357731842839</x:v>
      </x:c>
      <x:c r="H53" s="205" t="n">
        <x:v>0.130154161163093</x:v>
      </x:c>
      <x:c r="I53" s="206" t="n">
        <x:v>0.0663069509194947</x:v>
      </x:c>
      <x:c r="J53" s="206" t="n">
        <x:v>0.0185357731842839</x:v>
      </x:c>
      <x:c r="K53" s="206" t="n">
        <x:v>0.130154161163093</x:v>
      </x:c>
      <x:c r="L53" s="207" t="n">
        <x:v>0</x:v>
      </x:c>
      <x:c r="M53" s="207" t="n">
        <x:v>0</x:v>
      </x:c>
      <x:c r="N53" s="207" t="n">
        <x:v>0</x:v>
      </x:c>
    </x:row>
    <x:row r="54">
      <x:c r="A54" s="152" t="str">
        <x:v>B_Mujeres</x:v>
      </x:c>
      <x:c r="B54" s="152" t="str">
        <x:v>B</x:v>
      </x:c>
      <x:c r="C54" s="152" t="str">
        <x:v>Women</x:v>
      </x:c>
      <x:c r="D54" s="152" t="str">
        <x:v>Large adenomas</x:v>
      </x:c>
      <x:c r="E54" s="152" t="n">
        <x:v>25014</x:v>
      </x:c>
      <x:c r="F54" s="205" t="n">
        <x:v>0.0483565856874103</x:v>
      </x:c>
      <x:c r="G54" s="205" t="n">
        <x:v>0.0171932824318908</x:v>
      </x:c>
      <x:c r="H54" s="205" t="n">
        <x:v>0.0834848476825081</x:v>
      </x:c>
      <x:c r="I54" s="206" t="n">
        <x:v>0.0483565856874103</x:v>
      </x:c>
      <x:c r="J54" s="206" t="n">
        <x:v>0.0171932824318908</x:v>
      </x:c>
      <x:c r="K54" s="206" t="n">
        <x:v>0.0834848476825081</x:v>
      </x:c>
      <x:c r="L54" s="207" t="n">
        <x:v>0</x:v>
      </x:c>
      <x:c r="M54" s="207" t="n">
        <x:v>0</x:v>
      </x:c>
      <x:c r="N54" s="207" t="n">
        <x:v>0</x:v>
      </x:c>
    </x:row>
    <x:row r="55">
      <x:c r="A55" s="152" t="str">
        <x:v>B_Mujeres</x:v>
      </x:c>
      <x:c r="B55" s="152" t="str">
        <x:v>B</x:v>
      </x:c>
      <x:c r="C55" s="152" t="str">
        <x:v>Women</x:v>
      </x:c>
      <x:c r="D55" s="152" t="str">
        <x:v>Low risk adenomas</x:v>
      </x:c>
      <x:c r="E55" s="152" t="n">
        <x:v>25014</x:v>
      </x:c>
      <x:c r="F55" s="205" t="n">
        <x:v>0.220227190489032</x:v>
      </x:c>
      <x:c r="G55" s="205" t="n">
        <x:v>0.079927533916982</x:v>
      </x:c>
      <x:c r="H55" s="205" t="n">
        <x:v>0.395913185851023</x:v>
      </x:c>
      <x:c r="I55" s="206" t="n">
        <x:v>0.220227190489032</x:v>
      </x:c>
      <x:c r="J55" s="206" t="n">
        <x:v>0.079927533916982</x:v>
      </x:c>
      <x:c r="K55" s="206" t="n">
        <x:v>0.395913185851023</x:v>
      </x:c>
      <x:c r="L55" s="207" t="n">
        <x:v>0</x:v>
      </x:c>
      <x:c r="M55" s="207" t="n">
        <x:v>0</x:v>
      </x:c>
      <x:c r="N55" s="207" t="n">
        <x:v>0</x:v>
      </x:c>
    </x:row>
    <x:row r="56">
      <x:c r="A56" s="152" t="str">
        <x:v>B_Mujeres</x:v>
      </x:c>
      <x:c r="B56" s="152" t="str">
        <x:v>B</x:v>
      </x:c>
      <x:c r="C56" s="152" t="str">
        <x:v>Women</x:v>
      </x:c>
      <x:c r="D56" s="152" t="str">
        <x:v>High risk adenomas</x:v>
      </x:c>
      <x:c r="E56" s="152" t="n">
        <x:v>25014</x:v>
      </x:c>
      <x:c r="F56" s="205" t="n">
        <x:v>0.0999662073018457</x:v>
      </x:c>
      <x:c r="G56" s="205" t="n">
        <x:v>0.0444018502498996</x:v>
      </x:c>
      <x:c r="H56" s="205" t="n">
        <x:v>0.162708584331578</x:v>
      </x:c>
      <x:c r="I56" s="206" t="n">
        <x:v>0.0999662073018457</x:v>
      </x:c>
      <x:c r="J56" s="206" t="n">
        <x:v>0.0444018502498996</x:v>
      </x:c>
      <x:c r="K56" s="206" t="n">
        <x:v>0.162708584331578</x:v>
      </x:c>
      <x:c r="L56" s="207" t="n">
        <x:v>0</x:v>
      </x:c>
      <x:c r="M56" s="207" t="n">
        <x:v>0</x:v>
      </x:c>
      <x:c r="N56" s="207" t="n">
        <x:v>0</x:v>
      </x:c>
    </x:row>
    <x:row r="57">
      <x:c r="A57" s="152" t="str">
        <x:v>B_Mujeres</x:v>
      </x:c>
      <x:c r="B57" s="152" t="str">
        <x:v>B</x:v>
      </x:c>
      <x:c r="C57" s="152" t="str">
        <x:v>Women</x:v>
      </x:c>
      <x:c r="D57" s="152" t="str">
        <x:v>Cancer</x:v>
      </x:c>
      <x:c r="E57" s="152" t="n">
        <x:v>25014</x:v>
      </x:c>
      <x:c r="F57" s="205" t="n">
        <x:v>0.00182873490917276</x:v>
      </x:c>
      <x:c r="G57" s="205" t="n">
        <x:v>0.0000755130047668838</x:v>
      </x:c>
      <x:c r="H57" s="205" t="n">
        <x:v>0.0043979203224791</x:v>
      </x:c>
      <x:c r="I57" s="206" t="n">
        <x:v>0.00182873490917276</x:v>
      </x:c>
      <x:c r="J57" s="206" t="n">
        <x:v>0.0000755130047668838</x:v>
      </x:c>
      <x:c r="K57" s="206" t="n">
        <x:v>0.0043979203224791</x:v>
      </x:c>
      <x:c r="L57" s="207" t="n">
        <x:v>0</x:v>
      </x:c>
      <x:c r="M57" s="207" t="n">
        <x:v>0</x:v>
      </x:c>
      <x:c r="N57" s="207" t="n">
        <x:v>0</x:v>
      </x:c>
    </x:row>
    <x:row r="58">
      <x:c r="A58" s="152" t="str">
        <x:v>B_Mujeres</x:v>
      </x:c>
      <x:c r="B58" s="152" t="str">
        <x:v>B</x:v>
      </x:c>
      <x:c r="C58" s="152" t="str">
        <x:v>Women</x:v>
      </x:c>
      <x:c r="D58" s="152" t="str">
        <x:v>Any adenoma</x:v>
      </x:c>
      <x:c r="E58" s="152" t="n">
        <x:v>25014</x:v>
      </x:c>
      <x:c r="F58" s="205" t="n">
        <x:v>0.2764376128602</x:v>
      </x:c>
      <x:c r="G58" s="205" t="n">
        <x:v>0.155180895093371</x:v>
      </x:c>
      <x:c r="H58" s="205" t="n">
        <x:v>0.402305463638175</x:v>
      </x:c>
      <x:c r="I58" s="206" t="n">
        <x:v>0.306000388321841</x:v>
      </x:c>
      <x:c r="J58" s="206" t="n">
        <x:v>0.180907723072989</x:v>
      </x:c>
      <x:c r="K58" s="206" t="n">
        <x:v>0.436175201145062</x:v>
      </x:c>
      <x:c r="L58" s="207" t="n">
        <x:v>2.95627754616408</x:v>
      </x:c>
      <x:c r="M58" s="207" t="n">
        <x:v>-5.64579056524989</x:v>
      </x:c>
      <x:c r="N58" s="207" t="n">
        <x:v>12.229637522179</x:v>
      </x:c>
    </x:row>
    <x:row r="61" ht="34" customHeight="1">
      <x:c r="A61" s="211" t="str">
        <x:v>Prevalence formula: D / (FIT sensitivity × colonoscopy adherence × colonoscopy sensitivity). Intervals are empirical 95% uncertainty intervals; values are not truncated.</x:v>
      </x:c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</x:row>
  </x:sheetData>
  <x:mergeCells>
    <x:mergeCell ref="A1:N1"/>
    <x:mergeCell ref="A2:N2"/>
    <x:mergeCell ref="A61:N61"/>
  </x:mergeCells>
  <x:pageMargins left="0.7" right="0.7" top="0.75" bottom="0.75" header="0.3" footer="0.3"/>
  <x:tableParts count="1">
    <x:tablePart xmlns:r="http://schemas.openxmlformats.org/officeDocument/2006/relationships" r:id="Rcaaed4d6b6e546f9"/>
  </x:tableParts>
</x:worksheet>
</file>

<file path=xl/worksheets/sheet9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8" hidden="0" customWidth="1"/>
    <x:col min="3" max="3" width="14" hidden="0" customWidth="1"/>
    <x:col min="4" max="4" width="2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196" t="str">
        <x:v>Adjusted detection rate for all lesion categories</x:v>
      </x:c>
      <x:c r="B1" s="196"/>
      <x:c r="C1" s="196"/>
      <x:c r="D1" s="196"/>
      <x:c r="E1" s="196"/>
      <x:c r="F1" s="196"/>
      <x:c r="G1" s="196"/>
      <x:c r="H1" s="196"/>
      <x:c r="I1" s="196"/>
      <x:c r="J1" s="196"/>
      <x:c r="K1" s="196"/>
      <x:c r="L1" s="196"/>
      <x:c r="M1" s="196"/>
      <x:c r="N1" s="196"/>
    </x:row>
    <x:row r="2" ht="31" customHeight="1">
      <x:c r="A2" s="200" t="str">
        <x:v>Adjusted program detection rate by Base A/B and sex; this measure is distinct from the colonoscopy ADR</x:v>
      </x:c>
      <x:c r="B2" s="200"/>
      <x:c r="C2" s="200"/>
      <x:c r="D2" s="200"/>
      <x:c r="E2" s="200"/>
      <x:c r="F2" s="200"/>
      <x:c r="G2" s="200"/>
      <x:c r="H2" s="200"/>
      <x:c r="I2" s="200"/>
      <x:c r="J2" s="200"/>
      <x:c r="K2" s="200"/>
      <x:c r="L2" s="200"/>
      <x:c r="M2" s="200"/>
      <x:c r="N2" s="200"/>
    </x:row>
    <x:row r="4">
      <x:c r="A4" s="204" t="str">
        <x:v>Analysis</x:v>
      </x:c>
      <x:c r="B4" s="204" t="str">
        <x:v>Base</x:v>
      </x:c>
      <x:c r="C4" s="204" t="str">
        <x:v>Sex</x:v>
      </x:c>
      <x:c r="D4" s="204" t="str">
        <x:v>Lesion category</x:v>
      </x:c>
      <x:c r="E4" s="204" t="str">
        <x:v>Population</x:v>
      </x:c>
      <x:c r="F4" s="204" t="str">
        <x:v>PRENEC mean</x:v>
      </x:c>
      <x:c r="G4" s="204" t="str">
        <x:v>PRENEC 95% UI lower</x:v>
      </x:c>
      <x:c r="H4" s="204" t="str">
        <x:v>PRENEC 95% UI upper</x:v>
      </x:c>
      <x:c r="I4" s="204" t="str">
        <x:v>Literature mean</x:v>
      </x:c>
      <x:c r="J4" s="204" t="str">
        <x:v>Literature 95% UI lower</x:v>
      </x:c>
      <x:c r="K4" s="204" t="str">
        <x:v>Literature 95% UI upper</x:v>
      </x:c>
      <x:c r="L4" s="204" t="str">
        <x:v>Change (pp)</x:v>
      </x:c>
      <x:c r="M4" s="204" t="str">
        <x:v>Change lower (pp)</x:v>
      </x:c>
      <x:c r="N4" s="204" t="str">
        <x:v>Change upper (pp)</x:v>
      </x:c>
    </x:row>
    <x:row r="5">
      <x:c r="A5" s="152" t="str">
        <x:v>A_Total</x:v>
      </x:c>
      <x:c r="B5" s="152" t="str">
        <x:v>A</x:v>
      </x:c>
      <x:c r="C5" s="152" t="str">
        <x:v>Both sexes</x:v>
      </x:c>
      <x:c r="D5" s="152" t="str">
        <x:v>Adenomas_s</x:v>
      </x:c>
      <x:c r="E5" s="152" t="n">
        <x:v>34241</x:v>
      </x:c>
      <x:c r="F5" s="205" t="n">
        <x:v>0.297281889363154</x:v>
      </x:c>
      <x:c r="G5" s="205" t="n">
        <x:v>0.168323972825307</x:v>
      </x:c>
      <x:c r="H5" s="205" t="n">
        <x:v>0.451839093229126</x:v>
      </x:c>
      <x:c r="I5" s="206" t="n">
        <x:v>0.297281889363154</x:v>
      </x:c>
      <x:c r="J5" s="206" t="n">
        <x:v>0.168323972825307</x:v>
      </x:c>
      <x:c r="K5" s="206" t="n">
        <x:v>0.451839093229126</x:v>
      </x:c>
      <x:c r="L5" s="207" t="n">
        <x:v>0</x:v>
      </x:c>
      <x:c r="M5" s="207" t="n">
        <x:v>0</x:v>
      </x:c>
      <x:c r="N5" s="207" t="n">
        <x:v>0</x:v>
      </x:c>
    </x:row>
    <x:row r="6">
      <x:c r="A6" s="152" t="str">
        <x:v>A_Total</x:v>
      </x:c>
      <x:c r="B6" s="152" t="str">
        <x:v>A</x:v>
      </x:c>
      <x:c r="C6" s="152" t="str">
        <x:v>Both sexes</x:v>
      </x:c>
      <x:c r="D6" s="152" t="str">
        <x:v>Adenomas_r</x:v>
      </x:c>
      <x:c r="E6" s="152" t="n">
        <x:v>34241</x:v>
      </x:c>
      <x:c r="F6" s="205" t="n">
        <x:v>0.29781808341475</x:v>
      </x:c>
      <x:c r="G6" s="205" t="n">
        <x:v>0.166775110114544</x:v>
      </x:c>
      <x:c r="H6" s="205" t="n">
        <x:v>0.444145862993626</x:v>
      </x:c>
      <x:c r="I6" s="206" t="n">
        <x:v>0.29781808341475</x:v>
      </x:c>
      <x:c r="J6" s="206" t="n">
        <x:v>0.166775110114544</x:v>
      </x:c>
      <x:c r="K6" s="206" t="n">
        <x:v>0.444145862993626</x:v>
      </x:c>
      <x:c r="L6" s="207" t="n">
        <x:v>0</x:v>
      </x:c>
      <x:c r="M6" s="207" t="n">
        <x:v>0</x:v>
      </x:c>
      <x:c r="N6" s="207" t="n">
        <x:v>0</x:v>
      </x:c>
    </x:row>
    <x:row r="7">
      <x:c r="A7" s="152" t="str">
        <x:v>A_Total</x:v>
      </x:c>
      <x:c r="B7" s="152" t="str">
        <x:v>A</x:v>
      </x:c>
      <x:c r="C7" s="152" t="str">
        <x:v>Both sexes</x:v>
      </x:c>
      <x:c r="D7" s="152" t="str">
        <x:v>Small adenomas</x:v>
      </x:c>
      <x:c r="E7" s="152" t="n">
        <x:v>34241</x:v>
      </x:c>
      <x:c r="F7" s="205" t="n">
        <x:v>0.172797467890773</x:v>
      </x:c>
      <x:c r="G7" s="205" t="n">
        <x:v>0.0592446665763784</x:v>
      </x:c>
      <x:c r="H7" s="205" t="n">
        <x:v>0.306537838954598</x:v>
      </x:c>
      <x:c r="I7" s="206" t="n">
        <x:v>0.172797467890773</x:v>
      </x:c>
      <x:c r="J7" s="206" t="n">
        <x:v>0.0592446665763784</x:v>
      </x:c>
      <x:c r="K7" s="206" t="n">
        <x:v>0.306537838954598</x:v>
      </x:c>
      <x:c r="L7" s="207" t="n">
        <x:v>0</x:v>
      </x:c>
      <x:c r="M7" s="207" t="n">
        <x:v>0</x:v>
      </x:c>
      <x:c r="N7" s="207" t="n">
        <x:v>0</x:v>
      </x:c>
    </x:row>
    <x:row r="8">
      <x:c r="A8" s="152" t="str">
        <x:v>A_Total</x:v>
      </x:c>
      <x:c r="B8" s="152" t="str">
        <x:v>A</x:v>
      </x:c>
      <x:c r="C8" s="152" t="str">
        <x:v>Both sexes</x:v>
      </x:c>
      <x:c r="D8" s="152" t="str">
        <x:v>Medium adenomas</x:v>
      </x:c>
      <x:c r="E8" s="152" t="n">
        <x:v>34241</x:v>
      </x:c>
      <x:c r="F8" s="205" t="n">
        <x:v>0.0727802672479809</x:v>
      </x:c>
      <x:c r="G8" s="205" t="n">
        <x:v>0.0260236842382721</x:v>
      </x:c>
      <x:c r="H8" s="205" t="n">
        <x:v>0.128062846629936</x:v>
      </x:c>
      <x:c r="I8" s="206" t="n">
        <x:v>0.0727802672479809</x:v>
      </x:c>
      <x:c r="J8" s="206" t="n">
        <x:v>0.0260236842382721</x:v>
      </x:c>
      <x:c r="K8" s="206" t="n">
        <x:v>0.128062846629936</x:v>
      </x:c>
      <x:c r="L8" s="207" t="n">
        <x:v>0</x:v>
      </x:c>
      <x:c r="M8" s="207" t="n">
        <x:v>0</x:v>
      </x:c>
      <x:c r="N8" s="207" t="n">
        <x:v>0</x:v>
      </x:c>
    </x:row>
    <x:row r="9">
      <x:c r="A9" s="152" t="str">
        <x:v>A_Total</x:v>
      </x:c>
      <x:c r="B9" s="152" t="str">
        <x:v>A</x:v>
      </x:c>
      <x:c r="C9" s="152" t="str">
        <x:v>Both sexes</x:v>
      </x:c>
      <x:c r="D9" s="152" t="str">
        <x:v>Large adenomas</x:v>
      </x:c>
      <x:c r="E9" s="152" t="n">
        <x:v>34241</x:v>
      </x:c>
      <x:c r="F9" s="205" t="n">
        <x:v>0.0517041542244008</x:v>
      </x:c>
      <x:c r="G9" s="205" t="n">
        <x:v>0.0229811955489897</x:v>
      </x:c>
      <x:c r="H9" s="205" t="n">
        <x:v>0.0840361535815862</x:v>
      </x:c>
      <x:c r="I9" s="206" t="n">
        <x:v>0.0517041542244008</x:v>
      </x:c>
      <x:c r="J9" s="206" t="n">
        <x:v>0.0229811955489897</x:v>
      </x:c>
      <x:c r="K9" s="206" t="n">
        <x:v>0.0840361535815862</x:v>
      </x:c>
      <x:c r="L9" s="207" t="n">
        <x:v>0</x:v>
      </x:c>
      <x:c r="M9" s="207" t="n">
        <x:v>0</x:v>
      </x:c>
      <x:c r="N9" s="207" t="n">
        <x:v>0</x:v>
      </x:c>
    </x:row>
    <x:row r="10">
      <x:c r="A10" s="152" t="str">
        <x:v>A_Total</x:v>
      </x:c>
      <x:c r="B10" s="152" t="str">
        <x:v>A</x:v>
      </x:c>
      <x:c r="C10" s="152" t="str">
        <x:v>Both sexes</x:v>
      </x:c>
      <x:c r="D10" s="152" t="str">
        <x:v>Low risk adenomas</x:v>
      </x:c>
      <x:c r="E10" s="152" t="n">
        <x:v>34241</x:v>
      </x:c>
      <x:c r="F10" s="205" t="n">
        <x:v>0.208224737925223</x:v>
      </x:c>
      <x:c r="G10" s="205" t="n">
        <x:v>0.0857456714107726</x:v>
      </x:c>
      <x:c r="H10" s="205" t="n">
        <x:v>0.345434756134548</x:v>
      </x:c>
      <x:c r="I10" s="206" t="n">
        <x:v>0.208224737925223</x:v>
      </x:c>
      <x:c r="J10" s="206" t="n">
        <x:v>0.0857456714107726</x:v>
      </x:c>
      <x:c r="K10" s="206" t="n">
        <x:v>0.345434756134548</x:v>
      </x:c>
      <x:c r="L10" s="207" t="n">
        <x:v>0</x:v>
      </x:c>
      <x:c r="M10" s="207" t="n">
        <x:v>0</x:v>
      </x:c>
      <x:c r="N10" s="207" t="n">
        <x:v>0</x:v>
      </x:c>
    </x:row>
    <x:row r="11">
      <x:c r="A11" s="152" t="str">
        <x:v>A_Total</x:v>
      </x:c>
      <x:c r="B11" s="152" t="str">
        <x:v>A</x:v>
      </x:c>
      <x:c r="C11" s="152" t="str">
        <x:v>Both sexes</x:v>
      </x:c>
      <x:c r="D11" s="152" t="str">
        <x:v>High risk adenomas</x:v>
      </x:c>
      <x:c r="E11" s="152" t="n">
        <x:v>34241</x:v>
      </x:c>
      <x:c r="F11" s="205" t="n">
        <x:v>0.0895933454895271</x:v>
      </x:c>
      <x:c r="G11" s="205" t="n">
        <x:v>0.0467182876357192</x:v>
      </x:c>
      <x:c r="H11" s="205" t="n">
        <x:v>0.135338720388887</x:v>
      </x:c>
      <x:c r="I11" s="206" t="n">
        <x:v>0.0895933454895271</x:v>
      </x:c>
      <x:c r="J11" s="206" t="n">
        <x:v>0.0467182876357192</x:v>
      </x:c>
      <x:c r="K11" s="206" t="n">
        <x:v>0.135338720388887</x:v>
      </x:c>
      <x:c r="L11" s="207" t="n">
        <x:v>0</x:v>
      </x:c>
      <x:c r="M11" s="207" t="n">
        <x:v>0</x:v>
      </x:c>
      <x:c r="N11" s="207" t="n">
        <x:v>0</x:v>
      </x:c>
    </x:row>
    <x:row r="12">
      <x:c r="A12" s="152" t="str">
        <x:v>A_Total</x:v>
      </x:c>
      <x:c r="B12" s="152" t="str">
        <x:v>A</x:v>
      </x:c>
      <x:c r="C12" s="152" t="str">
        <x:v>Both sexes</x:v>
      </x:c>
      <x:c r="D12" s="152" t="str">
        <x:v>Cancer</x:v>
      </x:c>
      <x:c r="E12" s="152" t="n">
        <x:v>34241</x:v>
      </x:c>
      <x:c r="F12" s="205" t="n">
        <x:v>0.00271087763675485</x:v>
      </x:c>
      <x:c r="G12" s="205" t="n">
        <x:v>0.000428985840283045</x:v>
      </x:c>
      <x:c r="H12" s="205" t="n">
        <x:v>0.00559630293891868</x:v>
      </x:c>
      <x:c r="I12" s="206" t="n">
        <x:v>0.00271087763675485</x:v>
      </x:c>
      <x:c r="J12" s="206" t="n">
        <x:v>0.000428985840283045</x:v>
      </x:c>
      <x:c r="K12" s="206" t="n">
        <x:v>0.00559630293891868</x:v>
      </x:c>
      <x:c r="L12" s="207" t="n">
        <x:v>0</x:v>
      </x:c>
      <x:c r="M12" s="207" t="n">
        <x:v>0</x:v>
      </x:c>
      <x:c r="N12" s="207" t="n">
        <x:v>0</x:v>
      </x:c>
    </x:row>
    <x:row r="13">
      <x:c r="A13" s="152" t="str">
        <x:v>A_Total</x:v>
      </x:c>
      <x:c r="B13" s="152" t="str">
        <x:v>A</x:v>
      </x:c>
      <x:c r="C13" s="152" t="str">
        <x:v>Both sexes</x:v>
      </x:c>
      <x:c r="D13" s="152" t="str">
        <x:v>Any adenoma</x:v>
      </x:c>
      <x:c r="E13" s="152" t="n">
        <x:v>34241</x:v>
      </x:c>
      <x:c r="F13" s="205" t="n">
        <x:v>0.289559274439384</x:v>
      </x:c>
      <x:c r="G13" s="205" t="n">
        <x:v>0.18144967428441</x:v>
      </x:c>
      <x:c r="H13" s="205" t="n">
        <x:v>0.404079477115077</x:v>
      </x:c>
      <x:c r="I13" s="206" t="n">
        <x:v>0.320555532506367</x:v>
      </x:c>
      <x:c r="J13" s="206" t="n">
        <x:v>0.213356576094617</x:v>
      </x:c>
      <x:c r="K13" s="206" t="n">
        <x:v>0.438415357949683</x:v>
      </x:c>
      <x:c r="L13" s="207" t="n">
        <x:v>3.09962580669836</x:v>
      </x:c>
      <x:c r="M13" s="207" t="n">
        <x:v>-5.67108258104256</x:v>
      </x:c>
      <x:c r="N13" s="207" t="n">
        <x:v>12.6713653576763</x:v>
      </x:c>
    </x:row>
    <x:row r="14">
      <x:c r="A14" s="152" t="str">
        <x:v>A_Hombres</x:v>
      </x:c>
      <x:c r="B14" s="152" t="str">
        <x:v>A</x:v>
      </x:c>
      <x:c r="C14" s="152" t="str">
        <x:v>Men</x:v>
      </x:c>
      <x:c r="D14" s="152" t="str">
        <x:v>Adenomas_s</x:v>
      </x:c>
      <x:c r="E14" s="152" t="n">
        <x:v>9227</x:v>
      </x:c>
      <x:c r="F14" s="205" t="n">
        <x:v>0.409282523640997</x:v>
      </x:c>
      <x:c r="G14" s="205" t="n">
        <x:v>0.178148206813143</x:v>
      </x:c>
      <x:c r="H14" s="205" t="n">
        <x:v>0.687290481926235</x:v>
      </x:c>
      <x:c r="I14" s="206" t="n">
        <x:v>0.409282523640997</x:v>
      </x:c>
      <x:c r="J14" s="206" t="n">
        <x:v>0.178148206813143</x:v>
      </x:c>
      <x:c r="K14" s="206" t="n">
        <x:v>0.687290481926235</x:v>
      </x:c>
      <x:c r="L14" s="207" t="n">
        <x:v>0</x:v>
      </x:c>
      <x:c r="M14" s="207" t="n">
        <x:v>0</x:v>
      </x:c>
      <x:c r="N14" s="207" t="n">
        <x:v>0</x:v>
      </x:c>
    </x:row>
    <x:row r="15">
      <x:c r="A15" s="152" t="str">
        <x:v>A_Hombres</x:v>
      </x:c>
      <x:c r="B15" s="152" t="str">
        <x:v>A</x:v>
      </x:c>
      <x:c r="C15" s="152" t="str">
        <x:v>Men</x:v>
      </x:c>
      <x:c r="D15" s="152" t="str">
        <x:v>Adenomas_r</x:v>
      </x:c>
      <x:c r="E15" s="152" t="n">
        <x:v>9227</x:v>
      </x:c>
      <x:c r="F15" s="205" t="n">
        <x:v>0.421713041526677</x:v>
      </x:c>
      <x:c r="G15" s="205" t="n">
        <x:v>0.170983002481995</x:v>
      </x:c>
      <x:c r="H15" s="205" t="n">
        <x:v>0.697543616080524</x:v>
      </x:c>
      <x:c r="I15" s="206" t="n">
        <x:v>0.421713041526677</x:v>
      </x:c>
      <x:c r="J15" s="206" t="n">
        <x:v>0.170983002481995</x:v>
      </x:c>
      <x:c r="K15" s="206" t="n">
        <x:v>0.697543616080524</x:v>
      </x:c>
      <x:c r="L15" s="207" t="n">
        <x:v>0</x:v>
      </x:c>
      <x:c r="M15" s="207" t="n">
        <x:v>0</x:v>
      </x:c>
      <x:c r="N15" s="207" t="n">
        <x:v>0</x:v>
      </x:c>
    </x:row>
    <x:row r="16">
      <x:c r="A16" s="152" t="str">
        <x:v>A_Hombres</x:v>
      </x:c>
      <x:c r="B16" s="152" t="str">
        <x:v>A</x:v>
      </x:c>
      <x:c r="C16" s="152" t="str">
        <x:v>Men</x:v>
      </x:c>
      <x:c r="D16" s="152" t="str">
        <x:v>Small adenomas</x:v>
      </x:c>
      <x:c r="E16" s="152" t="n">
        <x:v>9227</x:v>
      </x:c>
      <x:c r="F16" s="205" t="n">
        <x:v>0.2235617192404</x:v>
      </x:c>
      <x:c r="G16" s="205" t="n">
        <x:v>0.038409426945028</x:v>
      </x:c>
      <x:c r="H16" s="205" t="n">
        <x:v>0.455798185963302</x:v>
      </x:c>
      <x:c r="I16" s="206" t="n">
        <x:v>0.2235617192404</x:v>
      </x:c>
      <x:c r="J16" s="206" t="n">
        <x:v>0.038409426945028</x:v>
      </x:c>
      <x:c r="K16" s="206" t="n">
        <x:v>0.455798185963302</x:v>
      </x:c>
      <x:c r="L16" s="207" t="n">
        <x:v>0</x:v>
      </x:c>
      <x:c r="M16" s="207" t="n">
        <x:v>0</x:v>
      </x:c>
      <x:c r="N16" s="207" t="n">
        <x:v>0</x:v>
      </x:c>
    </x:row>
    <x:row r="17">
      <x:c r="A17" s="152" t="str">
        <x:v>A_Hombres</x:v>
      </x:c>
      <x:c r="B17" s="152" t="str">
        <x:v>A</x:v>
      </x:c>
      <x:c r="C17" s="152" t="str">
        <x:v>Men</x:v>
      </x:c>
      <x:c r="D17" s="152" t="str">
        <x:v>Medium adenomas</x:v>
      </x:c>
      <x:c r="E17" s="152" t="n">
        <x:v>9227</x:v>
      </x:c>
      <x:c r="F17" s="205" t="n">
        <x:v>0.110783025460443</x:v>
      </x:c>
      <x:c r="G17" s="205" t="n">
        <x:v>0.0218468666853018</x:v>
      </x:c>
      <x:c r="H17" s="205" t="n">
        <x:v>0.232491243377157</x:v>
      </x:c>
      <x:c r="I17" s="206" t="n">
        <x:v>0.110783025460443</x:v>
      </x:c>
      <x:c r="J17" s="206" t="n">
        <x:v>0.0218468666853018</x:v>
      </x:c>
      <x:c r="K17" s="206" t="n">
        <x:v>0.232491243377157</x:v>
      </x:c>
      <x:c r="L17" s="207" t="n">
        <x:v>0</x:v>
      </x:c>
      <x:c r="M17" s="207" t="n">
        <x:v>0</x:v>
      </x:c>
      <x:c r="N17" s="207" t="n">
        <x:v>0</x:v>
      </x:c>
    </x:row>
    <x:row r="18">
      <x:c r="A18" s="152" t="str">
        <x:v>A_Hombres</x:v>
      </x:c>
      <x:c r="B18" s="152" t="str">
        <x:v>A</x:v>
      </x:c>
      <x:c r="C18" s="152" t="str">
        <x:v>Men</x:v>
      </x:c>
      <x:c r="D18" s="152" t="str">
        <x:v>Large adenomas</x:v>
      </x:c>
      <x:c r="E18" s="152" t="n">
        <x:v>9227</x:v>
      </x:c>
      <x:c r="F18" s="205" t="n">
        <x:v>0.0749377789401545</x:v>
      </x:c>
      <x:c r="G18" s="205" t="n">
        <x:v>0.0184563684335457</x:v>
      </x:c>
      <x:c r="H18" s="205" t="n">
        <x:v>0.139848273027362</x:v>
      </x:c>
      <x:c r="I18" s="206" t="n">
        <x:v>0.0749377789401545</x:v>
      </x:c>
      <x:c r="J18" s="206" t="n">
        <x:v>0.0184563684335457</x:v>
      </x:c>
      <x:c r="K18" s="206" t="n">
        <x:v>0.139848273027362</x:v>
      </x:c>
      <x:c r="L18" s="207" t="n">
        <x:v>0</x:v>
      </x:c>
      <x:c r="M18" s="207" t="n">
        <x:v>0</x:v>
      </x:c>
      <x:c r="N18" s="207" t="n">
        <x:v>0</x:v>
      </x:c>
    </x:row>
    <x:row r="19">
      <x:c r="A19" s="152" t="str">
        <x:v>A_Hombres</x:v>
      </x:c>
      <x:c r="B19" s="152" t="str">
        <x:v>A</x:v>
      </x:c>
      <x:c r="C19" s="152" t="str">
        <x:v>Men</x:v>
      </x:c>
      <x:c r="D19" s="152" t="str">
        <x:v>Low risk adenomas</x:v>
      </x:c>
      <x:c r="E19" s="152" t="n">
        <x:v>9227</x:v>
      </x:c>
      <x:c r="F19" s="205" t="n">
        <x:v>0.289907910025372</x:v>
      </x:c>
      <x:c r="G19" s="205" t="n">
        <x:v>0.0732737696025993</x:v>
      </x:c>
      <x:c r="H19" s="205" t="n">
        <x:v>0.549952562722628</x:v>
      </x:c>
      <x:c r="I19" s="206" t="n">
        <x:v>0.289907910025372</x:v>
      </x:c>
      <x:c r="J19" s="206" t="n">
        <x:v>0.0732737696025993</x:v>
      </x:c>
      <x:c r="K19" s="206" t="n">
        <x:v>0.549952562722628</x:v>
      </x:c>
      <x:c r="L19" s="207" t="n">
        <x:v>0</x:v>
      </x:c>
      <x:c r="M19" s="207" t="n">
        <x:v>0</x:v>
      </x:c>
      <x:c r="N19" s="207" t="n">
        <x:v>0</x:v>
      </x:c>
    </x:row>
    <x:row r="20">
      <x:c r="A20" s="152" t="str">
        <x:v>A_Hombres</x:v>
      </x:c>
      <x:c r="B20" s="152" t="str">
        <x:v>A</x:v>
      </x:c>
      <x:c r="C20" s="152" t="str">
        <x:v>Men</x:v>
      </x:c>
      <x:c r="D20" s="152" t="str">
        <x:v>High risk adenomas</x:v>
      </x:c>
      <x:c r="E20" s="152" t="n">
        <x:v>9227</x:v>
      </x:c>
      <x:c r="F20" s="205" t="n">
        <x:v>0.131805131501305</x:v>
      </x:c>
      <x:c r="G20" s="205" t="n">
        <x:v>0.0455817796425588</x:v>
      </x:c>
      <x:c r="H20" s="205" t="n">
        <x:v>0.228346528866618</x:v>
      </x:c>
      <x:c r="I20" s="206" t="n">
        <x:v>0.131805131501305</x:v>
      </x:c>
      <x:c r="J20" s="206" t="n">
        <x:v>0.0455817796425588</x:v>
      </x:c>
      <x:c r="K20" s="206" t="n">
        <x:v>0.228346528866618</x:v>
      </x:c>
      <x:c r="L20" s="207" t="n">
        <x:v>0</x:v>
      </x:c>
      <x:c r="M20" s="207" t="n">
        <x:v>0</x:v>
      </x:c>
      <x:c r="N20" s="207" t="n">
        <x:v>0</x:v>
      </x:c>
    </x:row>
    <x:row r="21">
      <x:c r="A21" s="152" t="str">
        <x:v>A_Hombres</x:v>
      </x:c>
      <x:c r="B21" s="152" t="str">
        <x:v>A</x:v>
      </x:c>
      <x:c r="C21" s="152" t="str">
        <x:v>Men</x:v>
      </x:c>
      <x:c r="D21" s="152" t="str">
        <x:v>Cancer</x:v>
      </x:c>
      <x:c r="E21" s="152" t="n">
        <x:v>9227</x:v>
      </x:c>
      <x:c r="F21" s="205" t="n">
        <x:v>0.00477349190900244</x:v>
      </x:c>
      <x:c r="G21" s="205" t="n">
        <x:v>0.000331034076242483</x:v>
      </x:c>
      <x:c r="H21" s="205" t="n">
        <x:v>0.0112565329011064</x:v>
      </x:c>
      <x:c r="I21" s="206" t="n">
        <x:v>0.00477349190900244</x:v>
      </x:c>
      <x:c r="J21" s="206" t="n">
        <x:v>0.000331034076242483</x:v>
      </x:c>
      <x:c r="K21" s="206" t="n">
        <x:v>0.0112565329011064</x:v>
      </x:c>
      <x:c r="L21" s="207" t="n">
        <x:v>0</x:v>
      </x:c>
      <x:c r="M21" s="207" t="n">
        <x:v>0</x:v>
      </x:c>
      <x:c r="N21" s="207" t="n">
        <x:v>0</x:v>
      </x:c>
    </x:row>
    <x:row r="22">
      <x:c r="A22" s="152" t="str">
        <x:v>A_Hombres</x:v>
      </x:c>
      <x:c r="B22" s="152" t="str">
        <x:v>A</x:v>
      </x:c>
      <x:c r="C22" s="152" t="str">
        <x:v>Men</x:v>
      </x:c>
      <x:c r="D22" s="152" t="str">
        <x:v>Any adenoma</x:v>
      </x:c>
      <x:c r="E22" s="152" t="n">
        <x:v>9227</x:v>
      </x:c>
      <x:c r="F22" s="205" t="n">
        <x:v>0.41483400466218</x:v>
      </x:c>
      <x:c r="G22" s="205" t="n">
        <x:v>0.206635710972605</x:v>
      </x:c>
      <x:c r="H22" s="205" t="n">
        <x:v>0.643486265006072</x:v>
      </x:c>
      <x:c r="I22" s="206" t="n">
        <x:v>0.45991664417766</x:v>
      </x:c>
      <x:c r="J22" s="206" t="n">
        <x:v>0.242488878252762</x:v>
      </x:c>
      <x:c r="K22" s="206" t="n">
        <x:v>0.710319683636062</x:v>
      </x:c>
      <x:c r="L22" s="207" t="n">
        <x:v>4.50826395154797</x:v>
      </x:c>
      <x:c r="M22" s="207" t="n">
        <x:v>-8.45787552677571</x:v>
      </x:c>
      <x:c r="N22" s="207" t="n">
        <x:v>18.1336545321085</x:v>
      </x:c>
    </x:row>
    <x:row r="23">
      <x:c r="A23" s="152" t="str">
        <x:v>A_Mujeres</x:v>
      </x:c>
      <x:c r="B23" s="152" t="str">
        <x:v>A</x:v>
      </x:c>
      <x:c r="C23" s="152" t="str">
        <x:v>Women</x:v>
      </x:c>
      <x:c r="D23" s="152" t="str">
        <x:v>Adenomas_s</x:v>
      </x:c>
      <x:c r="E23" s="152" t="n">
        <x:v>25014</x:v>
      </x:c>
      <x:c r="F23" s="205" t="n">
        <x:v>0.254002996055204</x:v>
      </x:c>
      <x:c r="G23" s="205" t="n">
        <x:v>0.120976474079836</x:v>
      </x:c>
      <x:c r="H23" s="205" t="n">
        <x:v>0.398969830241214</x:v>
      </x:c>
      <x:c r="I23" s="206" t="n">
        <x:v>0.254002996055204</x:v>
      </x:c>
      <x:c r="J23" s="206" t="n">
        <x:v>0.120976474079836</x:v>
      </x:c>
      <x:c r="K23" s="206" t="n">
        <x:v>0.398969830241214</x:v>
      </x:c>
      <x:c r="L23" s="207" t="n">
        <x:v>0</x:v>
      </x:c>
      <x:c r="M23" s="207" t="n">
        <x:v>0</x:v>
      </x:c>
      <x:c r="N23" s="207" t="n">
        <x:v>0</x:v>
      </x:c>
    </x:row>
    <x:row r="24">
      <x:c r="A24" s="152" t="str">
        <x:v>A_Mujeres</x:v>
      </x:c>
      <x:c r="B24" s="152" t="str">
        <x:v>A</x:v>
      </x:c>
      <x:c r="C24" s="152" t="str">
        <x:v>Women</x:v>
      </x:c>
      <x:c r="D24" s="152" t="str">
        <x:v>Adenomas_r</x:v>
      </x:c>
      <x:c r="E24" s="152" t="n">
        <x:v>25014</x:v>
      </x:c>
      <x:c r="F24" s="205" t="n">
        <x:v>0.250998944259191</x:v>
      </x:c>
      <x:c r="G24" s="205" t="n">
        <x:v>0.122857669609423</x:v>
      </x:c>
      <x:c r="H24" s="205" t="n">
        <x:v>0.38766318664893</x:v>
      </x:c>
      <x:c r="I24" s="206" t="n">
        <x:v>0.250998944259191</x:v>
      </x:c>
      <x:c r="J24" s="206" t="n">
        <x:v>0.122857669609423</x:v>
      </x:c>
      <x:c r="K24" s="206" t="n">
        <x:v>0.38766318664893</x:v>
      </x:c>
      <x:c r="L24" s="207" t="n">
        <x:v>0</x:v>
      </x:c>
      <x:c r="M24" s="207" t="n">
        <x:v>0</x:v>
      </x:c>
      <x:c r="N24" s="207" t="n">
        <x:v>0</x:v>
      </x:c>
    </x:row>
    <x:row r="25">
      <x:c r="A25" s="152" t="str">
        <x:v>A_Mujeres</x:v>
      </x:c>
      <x:c r="B25" s="152" t="str">
        <x:v>A</x:v>
      </x:c>
      <x:c r="C25" s="152" t="str">
        <x:v>Women</x:v>
      </x:c>
      <x:c r="D25" s="152" t="str">
        <x:v>Small adenomas</x:v>
      </x:c>
      <x:c r="E25" s="152" t="n">
        <x:v>25014</x:v>
      </x:c>
      <x:c r="F25" s="205" t="n">
        <x:v>0.152076341520336</x:v>
      </x:c>
      <x:c r="G25" s="205" t="n">
        <x:v>0.0447528310857206</x:v>
      </x:c>
      <x:c r="H25" s="205" t="n">
        <x:v>0.285002743233038</x:v>
      </x:c>
      <x:c r="I25" s="206" t="n">
        <x:v>0.152076341520336</x:v>
      </x:c>
      <x:c r="J25" s="206" t="n">
        <x:v>0.0447528310857206</x:v>
      </x:c>
      <x:c r="K25" s="206" t="n">
        <x:v>0.285002743233038</x:v>
      </x:c>
      <x:c r="L25" s="207" t="n">
        <x:v>0</x:v>
      </x:c>
      <x:c r="M25" s="207" t="n">
        <x:v>0</x:v>
      </x:c>
      <x:c r="N25" s="207" t="n">
        <x:v>0</x:v>
      </x:c>
    </x:row>
    <x:row r="26">
      <x:c r="A26" s="152" t="str">
        <x:v>A_Mujeres</x:v>
      </x:c>
      <x:c r="B26" s="152" t="str">
        <x:v>A</x:v>
      </x:c>
      <x:c r="C26" s="152" t="str">
        <x:v>Women</x:v>
      </x:c>
      <x:c r="D26" s="152" t="str">
        <x:v>Medium adenomas</x:v>
      </x:c>
      <x:c r="E26" s="152" t="n">
        <x:v>25014</x:v>
      </x:c>
      <x:c r="F26" s="205" t="n">
        <x:v>0.0586211001852577</x:v>
      </x:c>
      <x:c r="G26" s="205" t="n">
        <x:v>0.015245361517102</x:v>
      </x:c>
      <x:c r="H26" s="205" t="n">
        <x:v>0.112545417298412</x:v>
      </x:c>
      <x:c r="I26" s="206" t="n">
        <x:v>0.0586211001852577</x:v>
      </x:c>
      <x:c r="J26" s="206" t="n">
        <x:v>0.015245361517102</x:v>
      </x:c>
      <x:c r="K26" s="206" t="n">
        <x:v>0.112545417298412</x:v>
      </x:c>
      <x:c r="L26" s="207" t="n">
        <x:v>0</x:v>
      </x:c>
      <x:c r="M26" s="207" t="n">
        <x:v>0</x:v>
      </x:c>
      <x:c r="N26" s="207" t="n">
        <x:v>0</x:v>
      </x:c>
    </x:row>
    <x:row r="27">
      <x:c r="A27" s="152" t="str">
        <x:v>A_Mujeres</x:v>
      </x:c>
      <x:c r="B27" s="152" t="str">
        <x:v>A</x:v>
      </x:c>
      <x:c r="C27" s="152" t="str">
        <x:v>Women</x:v>
      </x:c>
      <x:c r="D27" s="152" t="str">
        <x:v>Large adenomas</x:v>
      </x:c>
      <x:c r="E27" s="152" t="n">
        <x:v>25014</x:v>
      </x:c>
      <x:c r="F27" s="205" t="n">
        <x:v>0.0433055543496108</x:v>
      </x:c>
      <x:c r="G27" s="205" t="n">
        <x:v>0.0160924723804621</x:v>
      </x:c>
      <x:c r="H27" s="205" t="n">
        <x:v>0.0761649285011185</x:v>
      </x:c>
      <x:c r="I27" s="206" t="n">
        <x:v>0.0433055543496108</x:v>
      </x:c>
      <x:c r="J27" s="206" t="n">
        <x:v>0.0160924723804621</x:v>
      </x:c>
      <x:c r="K27" s="206" t="n">
        <x:v>0.0761649285011185</x:v>
      </x:c>
      <x:c r="L27" s="207" t="n">
        <x:v>0</x:v>
      </x:c>
      <x:c r="M27" s="207" t="n">
        <x:v>0</x:v>
      </x:c>
      <x:c r="N27" s="207" t="n">
        <x:v>0</x:v>
      </x:c>
    </x:row>
    <x:row r="28">
      <x:c r="A28" s="152" t="str">
        <x:v>A_Mujeres</x:v>
      </x:c>
      <x:c r="B28" s="152" t="str">
        <x:v>A</x:v>
      </x:c>
      <x:c r="C28" s="152" t="str">
        <x:v>Women</x:v>
      </x:c>
      <x:c r="D28" s="152" t="str">
        <x:v>Low risk adenomas</x:v>
      </x:c>
      <x:c r="E28" s="152" t="n">
        <x:v>25014</x:v>
      </x:c>
      <x:c r="F28" s="205" t="n">
        <x:v>0.175941230471581</x:v>
      </x:c>
      <x:c r="G28" s="205" t="n">
        <x:v>0.0588395189158924</x:v>
      </x:c>
      <x:c r="H28" s="205" t="n">
        <x:v>0.305730242993593</x:v>
      </x:c>
      <x:c r="I28" s="206" t="n">
        <x:v>0.175941230471581</x:v>
      </x:c>
      <x:c r="J28" s="206" t="n">
        <x:v>0.0588395189158924</x:v>
      </x:c>
      <x:c r="K28" s="206" t="n">
        <x:v>0.305730242993593</x:v>
      </x:c>
      <x:c r="L28" s="207" t="n">
        <x:v>0</x:v>
      </x:c>
      <x:c r="M28" s="207" t="n">
        <x:v>0</x:v>
      </x:c>
      <x:c r="N28" s="207" t="n">
        <x:v>0</x:v>
      </x:c>
    </x:row>
    <x:row r="29">
      <x:c r="A29" s="152" t="str">
        <x:v>A_Mujeres</x:v>
      </x:c>
      <x:c r="B29" s="152" t="str">
        <x:v>A</x:v>
      </x:c>
      <x:c r="C29" s="152" t="str">
        <x:v>Women</x:v>
      </x:c>
      <x:c r="D29" s="152" t="str">
        <x:v>High risk adenomas</x:v>
      </x:c>
      <x:c r="E29" s="152" t="n">
        <x:v>25014</x:v>
      </x:c>
      <x:c r="F29" s="205" t="n">
        <x:v>0.0750577137876094</x:v>
      </x:c>
      <x:c r="G29" s="205" t="n">
        <x:v>0.0339126423631911</x:v>
      </x:c>
      <x:c r="H29" s="205" t="n">
        <x:v>0.120311673084122</x:v>
      </x:c>
      <x:c r="I29" s="206" t="n">
        <x:v>0.0750577137876094</x:v>
      </x:c>
      <x:c r="J29" s="206" t="n">
        <x:v>0.0339126423631911</x:v>
      </x:c>
      <x:c r="K29" s="206" t="n">
        <x:v>0.120311673084122</x:v>
      </x:c>
      <x:c r="L29" s="207" t="n">
        <x:v>0</x:v>
      </x:c>
      <x:c r="M29" s="207" t="n">
        <x:v>0</x:v>
      </x:c>
      <x:c r="N29" s="207" t="n">
        <x:v>0</x:v>
      </x:c>
    </x:row>
    <x:row r="30">
      <x:c r="A30" s="152" t="str">
        <x:v>A_Mujeres</x:v>
      </x:c>
      <x:c r="B30" s="152" t="str">
        <x:v>A</x:v>
      </x:c>
      <x:c r="C30" s="152" t="str">
        <x:v>Women</x:v>
      </x:c>
      <x:c r="D30" s="152" t="str">
        <x:v>Cancer</x:v>
      </x:c>
      <x:c r="E30" s="152" t="n">
        <x:v>25014</x:v>
      </x:c>
      <x:c r="F30" s="205" t="n">
        <x:v>0.00194062132448776</x:v>
      </x:c>
      <x:c r="G30" s="205" t="n">
        <x:v>0.000127997548112601</x:v>
      </x:c>
      <x:c r="H30" s="205" t="n">
        <x:v>0.0045695035401641</x:v>
      </x:c>
      <x:c r="I30" s="206" t="n">
        <x:v>0.00194062132448776</x:v>
      </x:c>
      <x:c r="J30" s="206" t="n">
        <x:v>0.000127997548112601</x:v>
      </x:c>
      <x:c r="K30" s="206" t="n">
        <x:v>0.0045695035401641</x:v>
      </x:c>
      <x:c r="L30" s="207" t="n">
        <x:v>0</x:v>
      </x:c>
      <x:c r="M30" s="207" t="n">
        <x:v>0</x:v>
      </x:c>
      <x:c r="N30" s="207" t="n">
        <x:v>0</x:v>
      </x:c>
    </x:row>
    <x:row r="31">
      <x:c r="A31" s="152" t="str">
        <x:v>A_Mujeres</x:v>
      </x:c>
      <x:c r="B31" s="152" t="str">
        <x:v>A</x:v>
      </x:c>
      <x:c r="C31" s="152" t="str">
        <x:v>Women</x:v>
      </x:c>
      <x:c r="D31" s="152" t="str">
        <x:v>Any adenoma</x:v>
      </x:c>
      <x:c r="E31" s="152" t="n">
        <x:v>25014</x:v>
      </x:c>
      <x:c r="F31" s="205" t="n">
        <x:v>0.242954806637853</x:v>
      </x:c>
      <x:c r="G31" s="205" t="n">
        <x:v>0.141824275482314</x:v>
      </x:c>
      <x:c r="H31" s="205" t="n">
        <x:v>0.363209713077992</x:v>
      </x:c>
      <x:c r="I31" s="206" t="n">
        <x:v>0.268686579291938</x:v>
      </x:c>
      <x:c r="J31" s="206" t="n">
        <x:v>0.159401750432353</x:v>
      </x:c>
      <x:c r="K31" s="206" t="n">
        <x:v>0.384539293211112</x:v>
      </x:c>
      <x:c r="L31" s="207" t="n">
        <x:v>2.57317726540853</x:v>
      </x:c>
      <x:c r="M31" s="207" t="n">
        <x:v>-4.93654871388783</x:v>
      </x:c>
      <x:c r="N31" s="207" t="n">
        <x:v>10.5409146385714</x:v>
      </x:c>
    </x:row>
    <x:row r="32">
      <x:c r="A32" s="152" t="str">
        <x:v>B_Total</x:v>
      </x:c>
      <x:c r="B32" s="152" t="str">
        <x:v>B</x:v>
      </x:c>
      <x:c r="C32" s="152" t="str">
        <x:v>Both sexes</x:v>
      </x:c>
      <x:c r="D32" s="152" t="str">
        <x:v>Adenomas_s</x:v>
      </x:c>
      <x:c r="E32" s="152" t="n">
        <x:v>34241</x:v>
      </x:c>
      <x:c r="F32" s="205" t="n">
        <x:v>0.302746352642673</x:v>
      </x:c>
      <x:c r="G32" s="205" t="n">
        <x:v>0.174751536041362</x:v>
      </x:c>
      <x:c r="H32" s="205" t="n">
        <x:v>0.456758908993404</x:v>
      </x:c>
      <x:c r="I32" s="206" t="n">
        <x:v>0.302746352642673</x:v>
      </x:c>
      <x:c r="J32" s="206" t="n">
        <x:v>0.174751536041362</x:v>
      </x:c>
      <x:c r="K32" s="206" t="n">
        <x:v>0.456758908993404</x:v>
      </x:c>
      <x:c r="L32" s="207" t="n">
        <x:v>0</x:v>
      </x:c>
      <x:c r="M32" s="207" t="n">
        <x:v>0</x:v>
      </x:c>
      <x:c r="N32" s="207" t="n">
        <x:v>0</x:v>
      </x:c>
    </x:row>
    <x:row r="33">
      <x:c r="A33" s="152" t="str">
        <x:v>B_Total</x:v>
      </x:c>
      <x:c r="B33" s="152" t="str">
        <x:v>B</x:v>
      </x:c>
      <x:c r="C33" s="152" t="str">
        <x:v>Both sexes</x:v>
      </x:c>
      <x:c r="D33" s="152" t="str">
        <x:v>Adenomas_r</x:v>
      </x:c>
      <x:c r="E33" s="152" t="n">
        <x:v>34241</x:v>
      </x:c>
      <x:c r="F33" s="205" t="n">
        <x:v>0.298392100851368</x:v>
      </x:c>
      <x:c r="G33" s="205" t="n">
        <x:v>0.160683574909726</x:v>
      </x:c>
      <x:c r="H33" s="205" t="n">
        <x:v>0.435783280119182</x:v>
      </x:c>
      <x:c r="I33" s="206" t="n">
        <x:v>0.298392100851368</x:v>
      </x:c>
      <x:c r="J33" s="206" t="n">
        <x:v>0.160683574909726</x:v>
      </x:c>
      <x:c r="K33" s="206" t="n">
        <x:v>0.435783280119182</x:v>
      </x:c>
      <x:c r="L33" s="207" t="n">
        <x:v>0</x:v>
      </x:c>
      <x:c r="M33" s="207" t="n">
        <x:v>0</x:v>
      </x:c>
      <x:c r="N33" s="207" t="n">
        <x:v>0</x:v>
      </x:c>
    </x:row>
    <x:row r="34">
      <x:c r="A34" s="152" t="str">
        <x:v>B_Total</x:v>
      </x:c>
      <x:c r="B34" s="152" t="str">
        <x:v>B</x:v>
      </x:c>
      <x:c r="C34" s="152" t="str">
        <x:v>Both sexes</x:v>
      </x:c>
      <x:c r="D34" s="152" t="str">
        <x:v>Small adenomas</x:v>
      </x:c>
      <x:c r="E34" s="152" t="n">
        <x:v>34241</x:v>
      </x:c>
      <x:c r="F34" s="205" t="n">
        <x:v>0.178375882295312</x:v>
      </x:c>
      <x:c r="G34" s="205" t="n">
        <x:v>0.0659994761315235</x:v>
      </x:c>
      <x:c r="H34" s="205" t="n">
        <x:v>0.317667973302504</x:v>
      </x:c>
      <x:c r="I34" s="206" t="n">
        <x:v>0.178375882295312</x:v>
      </x:c>
      <x:c r="J34" s="206" t="n">
        <x:v>0.0659994761315235</x:v>
      </x:c>
      <x:c r="K34" s="206" t="n">
        <x:v>0.317667973302504</x:v>
      </x:c>
      <x:c r="L34" s="207" t="n">
        <x:v>0</x:v>
      </x:c>
      <x:c r="M34" s="207" t="n">
        <x:v>0</x:v>
      </x:c>
      <x:c r="N34" s="207" t="n">
        <x:v>0</x:v>
      </x:c>
    </x:row>
    <x:row r="35">
      <x:c r="A35" s="152" t="str">
        <x:v>B_Total</x:v>
      </x:c>
      <x:c r="B35" s="152" t="str">
        <x:v>B</x:v>
      </x:c>
      <x:c r="C35" s="152" t="str">
        <x:v>Both sexes</x:v>
      </x:c>
      <x:c r="D35" s="152" t="str">
        <x:v>Medium adenomas</x:v>
      </x:c>
      <x:c r="E35" s="152" t="n">
        <x:v>34241</x:v>
      </x:c>
      <x:c r="F35" s="205" t="n">
        <x:v>0.0708898843257956</x:v>
      </x:c>
      <x:c r="G35" s="205" t="n">
        <x:v>0.0239764556047196</x:v>
      </x:c>
      <x:c r="H35" s="205" t="n">
        <x:v>0.125208253281604</x:v>
      </x:c>
      <x:c r="I35" s="206" t="n">
        <x:v>0.0708898843257956</x:v>
      </x:c>
      <x:c r="J35" s="206" t="n">
        <x:v>0.0239764556047196</x:v>
      </x:c>
      <x:c r="K35" s="206" t="n">
        <x:v>0.125208253281604</x:v>
      </x:c>
      <x:c r="L35" s="207" t="n">
        <x:v>0</x:v>
      </x:c>
      <x:c r="M35" s="207" t="n">
        <x:v>0</x:v>
      </x:c>
      <x:c r="N35" s="207" t="n">
        <x:v>0</x:v>
      </x:c>
    </x:row>
    <x:row r="36">
      <x:c r="A36" s="152" t="str">
        <x:v>B_Total</x:v>
      </x:c>
      <x:c r="B36" s="152" t="str">
        <x:v>B</x:v>
      </x:c>
      <x:c r="C36" s="152" t="str">
        <x:v>Both sexes</x:v>
      </x:c>
      <x:c r="D36" s="152" t="str">
        <x:v>Large adenomas</x:v>
      </x:c>
      <x:c r="E36" s="152" t="n">
        <x:v>34241</x:v>
      </x:c>
      <x:c r="F36" s="205" t="n">
        <x:v>0.0534805860215653</x:v>
      </x:c>
      <x:c r="G36" s="205" t="n">
        <x:v>0.0240342373205857</x:v>
      </x:c>
      <x:c r="H36" s="205" t="n">
        <x:v>0.0850264189024808</x:v>
      </x:c>
      <x:c r="I36" s="206" t="n">
        <x:v>0.0534805860215653</x:v>
      </x:c>
      <x:c r="J36" s="206" t="n">
        <x:v>0.0240342373205857</x:v>
      </x:c>
      <x:c r="K36" s="206" t="n">
        <x:v>0.0850264189024808</x:v>
      </x:c>
      <x:c r="L36" s="207" t="n">
        <x:v>0</x:v>
      </x:c>
      <x:c r="M36" s="207" t="n">
        <x:v>0</x:v>
      </x:c>
      <x:c r="N36" s="207" t="n">
        <x:v>0</x:v>
      </x:c>
    </x:row>
    <x:row r="37">
      <x:c r="A37" s="152" t="str">
        <x:v>B_Total</x:v>
      </x:c>
      <x:c r="B37" s="152" t="str">
        <x:v>B</x:v>
      </x:c>
      <x:c r="C37" s="152" t="str">
        <x:v>Both sexes</x:v>
      </x:c>
      <x:c r="D37" s="152" t="str">
        <x:v>Low risk adenomas</x:v>
      </x:c>
      <x:c r="E37" s="152" t="n">
        <x:v>34241</x:v>
      </x:c>
      <x:c r="F37" s="205" t="n">
        <x:v>0.204528127300354</x:v>
      </x:c>
      <x:c r="G37" s="205" t="n">
        <x:v>0.0883973009884656</x:v>
      </x:c>
      <x:c r="H37" s="205" t="n">
        <x:v>0.341770981440863</x:v>
      </x:c>
      <x:c r="I37" s="206" t="n">
        <x:v>0.204528127300354</x:v>
      </x:c>
      <x:c r="J37" s="206" t="n">
        <x:v>0.0883973009884656</x:v>
      </x:c>
      <x:c r="K37" s="206" t="n">
        <x:v>0.341770981440863</x:v>
      </x:c>
      <x:c r="L37" s="207" t="n">
        <x:v>0</x:v>
      </x:c>
      <x:c r="M37" s="207" t="n">
        <x:v>0</x:v>
      </x:c>
      <x:c r="N37" s="207" t="n">
        <x:v>0</x:v>
      </x:c>
    </x:row>
    <x:row r="38">
      <x:c r="A38" s="152" t="str">
        <x:v>B_Total</x:v>
      </x:c>
      <x:c r="B38" s="152" t="str">
        <x:v>B</x:v>
      </x:c>
      <x:c r="C38" s="152" t="str">
        <x:v>Both sexes</x:v>
      </x:c>
      <x:c r="D38" s="152" t="str">
        <x:v>High risk adenomas</x:v>
      </x:c>
      <x:c r="E38" s="152" t="n">
        <x:v>34241</x:v>
      </x:c>
      <x:c r="F38" s="205" t="n">
        <x:v>0.0938639735510145</x:v>
      </x:c>
      <x:c r="G38" s="205" t="n">
        <x:v>0.0507633064555136</x:v>
      </x:c>
      <x:c r="H38" s="205" t="n">
        <x:v>0.142493375079639</x:v>
      </x:c>
      <x:c r="I38" s="206" t="n">
        <x:v>0.0938639735510145</x:v>
      </x:c>
      <x:c r="J38" s="206" t="n">
        <x:v>0.0507633064555136</x:v>
      </x:c>
      <x:c r="K38" s="206" t="n">
        <x:v>0.142493375079639</x:v>
      </x:c>
      <x:c r="L38" s="207" t="n">
        <x:v>0</x:v>
      </x:c>
      <x:c r="M38" s="207" t="n">
        <x:v>0</x:v>
      </x:c>
      <x:c r="N38" s="207" t="n">
        <x:v>0</x:v>
      </x:c>
    </x:row>
    <x:row r="39">
      <x:c r="A39" s="152" t="str">
        <x:v>B_Total</x:v>
      </x:c>
      <x:c r="B39" s="152" t="str">
        <x:v>B</x:v>
      </x:c>
      <x:c r="C39" s="152" t="str">
        <x:v>Both sexes</x:v>
      </x:c>
      <x:c r="D39" s="152" t="str">
        <x:v>Cancer</x:v>
      </x:c>
      <x:c r="E39" s="152" t="n">
        <x:v>34241</x:v>
      </x:c>
      <x:c r="F39" s="205" t="n">
        <x:v>0.00254584264610894</x:v>
      </x:c>
      <x:c r="G39" s="205" t="n">
        <x:v>0.000413427159262335</x:v>
      </x:c>
      <x:c r="H39" s="205" t="n">
        <x:v>0.00536700772848982</x:v>
      </x:c>
      <x:c r="I39" s="206" t="n">
        <x:v>0.00254584264610894</x:v>
      </x:c>
      <x:c r="J39" s="206" t="n">
        <x:v>0.000413427159262335</x:v>
      </x:c>
      <x:c r="K39" s="206" t="n">
        <x:v>0.00536700772848982</x:v>
      </x:c>
      <x:c r="L39" s="207" t="n">
        <x:v>0</x:v>
      </x:c>
      <x:c r="M39" s="207" t="n">
        <x:v>0</x:v>
      </x:c>
      <x:c r="N39" s="207" t="n">
        <x:v>0</x:v>
      </x:c>
    </x:row>
    <x:row r="40">
      <x:c r="A40" s="152" t="str">
        <x:v>B_Total</x:v>
      </x:c>
      <x:c r="B40" s="152" t="str">
        <x:v>B</x:v>
      </x:c>
      <x:c r="C40" s="152" t="str">
        <x:v>Both sexes</x:v>
      </x:c>
      <x:c r="D40" s="152" t="str">
        <x:v>Any adenoma</x:v>
      </x:c>
      <x:c r="E40" s="152" t="n">
        <x:v>34241</x:v>
      </x:c>
      <x:c r="F40" s="205" t="n">
        <x:v>0.295390994210735</x:v>
      </x:c>
      <x:c r="G40" s="205" t="n">
        <x:v>0.185852920640092</x:v>
      </x:c>
      <x:c r="H40" s="205" t="n">
        <x:v>0.410640790759984</x:v>
      </x:c>
      <x:c r="I40" s="206" t="n">
        <x:v>0.327530106192521</x:v>
      </x:c>
      <x:c r="J40" s="206" t="n">
        <x:v>0.21764142558127</x:v>
      </x:c>
      <x:c r="K40" s="206" t="n">
        <x:v>0.445167769587029</x:v>
      </x:c>
      <x:c r="L40" s="207" t="n">
        <x:v>3.21391119817864</x:v>
      </x:c>
      <x:c r="M40" s="207" t="n">
        <x:v>-6.16557221521368</x:v>
      </x:c>
      <x:c r="N40" s="207" t="n">
        <x:v>12.4175242506502</x:v>
      </x:c>
    </x:row>
    <x:row r="41">
      <x:c r="A41" s="152" t="str">
        <x:v>B_Hombres</x:v>
      </x:c>
      <x:c r="B41" s="152" t="str">
        <x:v>B</x:v>
      </x:c>
      <x:c r="C41" s="152" t="str">
        <x:v>Men</x:v>
      </x:c>
      <x:c r="D41" s="152" t="str">
        <x:v>Adenomas_s</x:v>
      </x:c>
      <x:c r="E41" s="152" t="n">
        <x:v>9227</x:v>
      </x:c>
      <x:c r="F41" s="205" t="n">
        <x:v>0.406867180502737</x:v>
      </x:c>
      <x:c r="G41" s="205" t="n">
        <x:v>0.181971569383226</x:v>
      </x:c>
      <x:c r="H41" s="205" t="n">
        <x:v>0.677297896428638</x:v>
      </x:c>
      <x:c r="I41" s="206" t="n">
        <x:v>0.406867180502737</x:v>
      </x:c>
      <x:c r="J41" s="206" t="n">
        <x:v>0.181971569383226</x:v>
      </x:c>
      <x:c r="K41" s="206" t="n">
        <x:v>0.677297896428638</x:v>
      </x:c>
      <x:c r="L41" s="207" t="n">
        <x:v>0</x:v>
      </x:c>
      <x:c r="M41" s="207" t="n">
        <x:v>0</x:v>
      </x:c>
      <x:c r="N41" s="207" t="n">
        <x:v>0</x:v>
      </x:c>
    </x:row>
    <x:row r="42">
      <x:c r="A42" s="152" t="str">
        <x:v>B_Hombres</x:v>
      </x:c>
      <x:c r="B42" s="152" t="str">
        <x:v>B</x:v>
      </x:c>
      <x:c r="C42" s="152" t="str">
        <x:v>Men</x:v>
      </x:c>
      <x:c r="D42" s="152" t="str">
        <x:v>Adenomas_r</x:v>
      </x:c>
      <x:c r="E42" s="152" t="n">
        <x:v>9227</x:v>
      </x:c>
      <x:c r="F42" s="205" t="n">
        <x:v>0.410875020522335</x:v>
      </x:c>
      <x:c r="G42" s="205" t="n">
        <x:v>0.179892316039802</x:v>
      </x:c>
      <x:c r="H42" s="205" t="n">
        <x:v>0.688533558741027</x:v>
      </x:c>
      <x:c r="I42" s="206" t="n">
        <x:v>0.410875020522335</x:v>
      </x:c>
      <x:c r="J42" s="206" t="n">
        <x:v>0.179892316039802</x:v>
      </x:c>
      <x:c r="K42" s="206" t="n">
        <x:v>0.688533558741027</x:v>
      </x:c>
      <x:c r="L42" s="207" t="n">
        <x:v>0</x:v>
      </x:c>
      <x:c r="M42" s="207" t="n">
        <x:v>0</x:v>
      </x:c>
      <x:c r="N42" s="207" t="n">
        <x:v>0</x:v>
      </x:c>
    </x:row>
    <x:row r="43">
      <x:c r="A43" s="152" t="str">
        <x:v>B_Hombres</x:v>
      </x:c>
      <x:c r="B43" s="152" t="str">
        <x:v>B</x:v>
      </x:c>
      <x:c r="C43" s="152" t="str">
        <x:v>Men</x:v>
      </x:c>
      <x:c r="D43" s="152" t="str">
        <x:v>Small adenomas</x:v>
      </x:c>
      <x:c r="E43" s="152" t="n">
        <x:v>9227</x:v>
      </x:c>
      <x:c r="F43" s="205" t="n">
        <x:v>0.222294426412452</x:v>
      </x:c>
      <x:c r="G43" s="205" t="n">
        <x:v>0.0346198455552287</x:v>
      </x:c>
      <x:c r="H43" s="205" t="n">
        <x:v>0.450760100016227</x:v>
      </x:c>
      <x:c r="I43" s="206" t="n">
        <x:v>0.222294426412452</x:v>
      </x:c>
      <x:c r="J43" s="206" t="n">
        <x:v>0.0346198455552287</x:v>
      </x:c>
      <x:c r="K43" s="206" t="n">
        <x:v>0.450760100016227</x:v>
      </x:c>
      <x:c r="L43" s="207" t="n">
        <x:v>0</x:v>
      </x:c>
      <x:c r="M43" s="207" t="n">
        <x:v>0</x:v>
      </x:c>
      <x:c r="N43" s="207" t="n">
        <x:v>0</x:v>
      </x:c>
    </x:row>
    <x:row r="44">
      <x:c r="A44" s="152" t="str">
        <x:v>B_Hombres</x:v>
      </x:c>
      <x:c r="B44" s="152" t="str">
        <x:v>B</x:v>
      </x:c>
      <x:c r="C44" s="152" t="str">
        <x:v>Men</x:v>
      </x:c>
      <x:c r="D44" s="152" t="str">
        <x:v>Medium adenomas</x:v>
      </x:c>
      <x:c r="E44" s="152" t="n">
        <x:v>9227</x:v>
      </x:c>
      <x:c r="F44" s="205" t="n">
        <x:v>0.107378891050027</x:v>
      </x:c>
      <x:c r="G44" s="205" t="n">
        <x:v>0.0249250314646062</x:v>
      </x:c>
      <x:c r="H44" s="205" t="n">
        <x:v>0.22253940133172</x:v>
      </x:c>
      <x:c r="I44" s="206" t="n">
        <x:v>0.107378891050027</x:v>
      </x:c>
      <x:c r="J44" s="206" t="n">
        <x:v>0.0249250314646062</x:v>
      </x:c>
      <x:c r="K44" s="206" t="n">
        <x:v>0.22253940133172</x:v>
      </x:c>
      <x:c r="L44" s="207" t="n">
        <x:v>0</x:v>
      </x:c>
      <x:c r="M44" s="207" t="n">
        <x:v>0</x:v>
      </x:c>
      <x:c r="N44" s="207" t="n">
        <x:v>0</x:v>
      </x:c>
    </x:row>
    <x:row r="45">
      <x:c r="A45" s="152" t="str">
        <x:v>B_Hombres</x:v>
      </x:c>
      <x:c r="B45" s="152" t="str">
        <x:v>B</x:v>
      </x:c>
      <x:c r="C45" s="152" t="str">
        <x:v>Men</x:v>
      </x:c>
      <x:c r="D45" s="152" t="str">
        <x:v>Large adenomas</x:v>
      </x:c>
      <x:c r="E45" s="152" t="n">
        <x:v>9227</x:v>
      </x:c>
      <x:c r="F45" s="205" t="n">
        <x:v>0.0771938630402579</x:v>
      </x:c>
      <x:c r="G45" s="205" t="n">
        <x:v>0.0226265256470755</x:v>
      </x:c>
      <x:c r="H45" s="205" t="n">
        <x:v>0.146262292586587</x:v>
      </x:c>
      <x:c r="I45" s="206" t="n">
        <x:v>0.0771938630402579</x:v>
      </x:c>
      <x:c r="J45" s="206" t="n">
        <x:v>0.0226265256470755</x:v>
      </x:c>
      <x:c r="K45" s="206" t="n">
        <x:v>0.146262292586587</x:v>
      </x:c>
      <x:c r="L45" s="207" t="n">
        <x:v>0</x:v>
      </x:c>
      <x:c r="M45" s="207" t="n">
        <x:v>0</x:v>
      </x:c>
      <x:c r="N45" s="207" t="n">
        <x:v>0</x:v>
      </x:c>
    </x:row>
    <x:row r="46">
      <x:c r="A46" s="152" t="str">
        <x:v>B_Hombres</x:v>
      </x:c>
      <x:c r="B46" s="152" t="str">
        <x:v>B</x:v>
      </x:c>
      <x:c r="C46" s="152" t="str">
        <x:v>Men</x:v>
      </x:c>
      <x:c r="D46" s="152" t="str">
        <x:v>Low risk adenomas</x:v>
      </x:c>
      <x:c r="E46" s="152" t="n">
        <x:v>9227</x:v>
      </x:c>
      <x:c r="F46" s="205" t="n">
        <x:v>0.279235231052481</x:v>
      </x:c>
      <x:c r="G46" s="205" t="n">
        <x:v>0.078691002658328</x:v>
      </x:c>
      <x:c r="H46" s="205" t="n">
        <x:v>0.544230952432977</x:v>
      </x:c>
      <x:c r="I46" s="206" t="n">
        <x:v>0.279235231052481</x:v>
      </x:c>
      <x:c r="J46" s="206" t="n">
        <x:v>0.078691002658328</x:v>
      </x:c>
      <x:c r="K46" s="206" t="n">
        <x:v>0.544230952432977</x:v>
      </x:c>
      <x:c r="L46" s="207" t="n">
        <x:v>0</x:v>
      </x:c>
      <x:c r="M46" s="207" t="n">
        <x:v>0</x:v>
      </x:c>
      <x:c r="N46" s="207" t="n">
        <x:v>0</x:v>
      </x:c>
    </x:row>
    <x:row r="47">
      <x:c r="A47" s="152" t="str">
        <x:v>B_Hombres</x:v>
      </x:c>
      <x:c r="B47" s="152" t="str">
        <x:v>B</x:v>
      </x:c>
      <x:c r="C47" s="152" t="str">
        <x:v>Men</x:v>
      </x:c>
      <x:c r="D47" s="152" t="str">
        <x:v>High risk adenomas</x:v>
      </x:c>
      <x:c r="E47" s="152" t="n">
        <x:v>9227</x:v>
      </x:c>
      <x:c r="F47" s="205" t="n">
        <x:v>0.131639789469854</x:v>
      </x:c>
      <x:c r="G47" s="205" t="n">
        <x:v>0.0509625676178196</x:v>
      </x:c>
      <x:c r="H47" s="205" t="n">
        <x:v>0.231773409051121</x:v>
      </x:c>
      <x:c r="I47" s="206" t="n">
        <x:v>0.131639789469854</x:v>
      </x:c>
      <x:c r="J47" s="206" t="n">
        <x:v>0.0509625676178196</x:v>
      </x:c>
      <x:c r="K47" s="206" t="n">
        <x:v>0.231773409051121</x:v>
      </x:c>
      <x:c r="L47" s="207" t="n">
        <x:v>0</x:v>
      </x:c>
      <x:c r="M47" s="207" t="n">
        <x:v>0</x:v>
      </x:c>
      <x:c r="N47" s="207" t="n">
        <x:v>0</x:v>
      </x:c>
    </x:row>
    <x:row r="48">
      <x:c r="A48" s="152" t="str">
        <x:v>B_Hombres</x:v>
      </x:c>
      <x:c r="B48" s="152" t="str">
        <x:v>B</x:v>
      </x:c>
      <x:c r="C48" s="152" t="str">
        <x:v>Men</x:v>
      </x:c>
      <x:c r="D48" s="152" t="str">
        <x:v>Cancer</x:v>
      </x:c>
      <x:c r="E48" s="152" t="n">
        <x:v>9227</x:v>
      </x:c>
      <x:c r="F48" s="205" t="n">
        <x:v>0.00497885822407592</x:v>
      </x:c>
      <x:c r="G48" s="205" t="n">
        <x:v>0.000400141035107372</x:v>
      </x:c>
      <x:c r="H48" s="205" t="n">
        <x:v>0.0116097619203941</x:v>
      </x:c>
      <x:c r="I48" s="206" t="n">
        <x:v>0.00497885822407592</x:v>
      </x:c>
      <x:c r="J48" s="206" t="n">
        <x:v>0.000400141035107372</x:v>
      </x:c>
      <x:c r="K48" s="206" t="n">
        <x:v>0.0116097619203941</x:v>
      </x:c>
      <x:c r="L48" s="207" t="n">
        <x:v>0</x:v>
      </x:c>
      <x:c r="M48" s="207" t="n">
        <x:v>0</x:v>
      </x:c>
      <x:c r="N48" s="207" t="n">
        <x:v>0</x:v>
      </x:c>
    </x:row>
    <x:row r="49">
      <x:c r="A49" s="152" t="str">
        <x:v>B_Hombres</x:v>
      </x:c>
      <x:c r="B49" s="152" t="str">
        <x:v>B</x:v>
      </x:c>
      <x:c r="C49" s="152" t="str">
        <x:v>Men</x:v>
      </x:c>
      <x:c r="D49" s="152" t="str">
        <x:v>Any adenoma</x:v>
      </x:c>
      <x:c r="E49" s="152" t="n">
        <x:v>9227</x:v>
      </x:c>
      <x:c r="F49" s="205" t="n">
        <x:v>0.407569586183933</x:v>
      </x:c>
      <x:c r="G49" s="205" t="n">
        <x:v>0.206151922199049</x:v>
      </x:c>
      <x:c r="H49" s="205" t="n">
        <x:v>0.647591995690629</x:v>
      </x:c>
      <x:c r="I49" s="206" t="n">
        <x:v>0.450395430958931</x:v>
      </x:c>
      <x:c r="J49" s="206" t="n">
        <x:v>0.222105551682613</x:v>
      </x:c>
      <x:c r="K49" s="206" t="n">
        <x:v>0.686777325973627</x:v>
      </x:c>
      <x:c r="L49" s="207" t="n">
        <x:v>4.28258447749983</x:v>
      </x:c>
      <x:c r="M49" s="207" t="n">
        <x:v>-8.83315159764564</x:v>
      </x:c>
      <x:c r="N49" s="207" t="n">
        <x:v>17.5897727390225</x:v>
      </x:c>
    </x:row>
    <x:row r="50">
      <x:c r="A50" s="152" t="str">
        <x:v>B_Mujeres</x:v>
      </x:c>
      <x:c r="B50" s="152" t="str">
        <x:v>B</x:v>
      </x:c>
      <x:c r="C50" s="152" t="str">
        <x:v>Women</x:v>
      </x:c>
      <x:c r="D50" s="152" t="str">
        <x:v>Adenomas_s</x:v>
      </x:c>
      <x:c r="E50" s="152" t="n">
        <x:v>25014</x:v>
      </x:c>
      <x:c r="F50" s="205" t="n">
        <x:v>0.264405084698761</x:v>
      </x:c>
      <x:c r="G50" s="205" t="n">
        <x:v>0.126814711963369</x:v>
      </x:c>
      <x:c r="H50" s="205" t="n">
        <x:v>0.413661930937179</x:v>
      </x:c>
      <x:c r="I50" s="206" t="n">
        <x:v>0.264405084698761</x:v>
      </x:c>
      <x:c r="J50" s="206" t="n">
        <x:v>0.126814711963369</x:v>
      </x:c>
      <x:c r="K50" s="206" t="n">
        <x:v>0.413661930937179</x:v>
      </x:c>
      <x:c r="L50" s="207" t="n">
        <x:v>0</x:v>
      </x:c>
      <x:c r="M50" s="207" t="n">
        <x:v>0</x:v>
      </x:c>
      <x:c r="N50" s="207" t="n">
        <x:v>0</x:v>
      </x:c>
    </x:row>
    <x:row r="51">
      <x:c r="A51" s="152" t="str">
        <x:v>B_Mujeres</x:v>
      </x:c>
      <x:c r="B51" s="152" t="str">
        <x:v>B</x:v>
      </x:c>
      <x:c r="C51" s="152" t="str">
        <x:v>Women</x:v>
      </x:c>
      <x:c r="D51" s="152" t="str">
        <x:v>Adenomas_r</x:v>
      </x:c>
      <x:c r="E51" s="152" t="n">
        <x:v>25014</x:v>
      </x:c>
      <x:c r="F51" s="205" t="n">
        <x:v>0.256477352286064</x:v>
      </x:c>
      <x:c r="G51" s="205" t="n">
        <x:v>0.129555455546114</x:v>
      </x:c>
      <x:c r="H51" s="205" t="n">
        <x:v>0.39844558925149</x:v>
      </x:c>
      <x:c r="I51" s="206" t="n">
        <x:v>0.256477352286064</x:v>
      </x:c>
      <x:c r="J51" s="206" t="n">
        <x:v>0.129555455546114</x:v>
      </x:c>
      <x:c r="K51" s="206" t="n">
        <x:v>0.39844558925149</x:v>
      </x:c>
      <x:c r="L51" s="207" t="n">
        <x:v>0</x:v>
      </x:c>
      <x:c r="M51" s="207" t="n">
        <x:v>0</x:v>
      </x:c>
      <x:c r="N51" s="207" t="n">
        <x:v>0</x:v>
      </x:c>
    </x:row>
    <x:row r="52">
      <x:c r="A52" s="152" t="str">
        <x:v>B_Mujeres</x:v>
      </x:c>
      <x:c r="B52" s="152" t="str">
        <x:v>B</x:v>
      </x:c>
      <x:c r="C52" s="152" t="str">
        <x:v>Women</x:v>
      </x:c>
      <x:c r="D52" s="152" t="str">
        <x:v>Small adenomas</x:v>
      </x:c>
      <x:c r="E52" s="152" t="n">
        <x:v>25014</x:v>
      </x:c>
      <x:c r="F52" s="205" t="n">
        <x:v>0.161434525441524</x:v>
      </x:c>
      <x:c r="G52" s="205" t="n">
        <x:v>0.0470080828229848</x:v>
      </x:c>
      <x:c r="H52" s="205" t="n">
        <x:v>0.29853371118012</x:v>
      </x:c>
      <x:c r="I52" s="206" t="n">
        <x:v>0.161434525441524</x:v>
      </x:c>
      <x:c r="J52" s="206" t="n">
        <x:v>0.0470080828229848</x:v>
      </x:c>
      <x:c r="K52" s="206" t="n">
        <x:v>0.29853371118012</x:v>
      </x:c>
      <x:c r="L52" s="207" t="n">
        <x:v>0</x:v>
      </x:c>
      <x:c r="M52" s="207" t="n">
        <x:v>0</x:v>
      </x:c>
      <x:c r="N52" s="207" t="n">
        <x:v>0</x:v>
      </x:c>
    </x:row>
    <x:row r="53">
      <x:c r="A53" s="152" t="str">
        <x:v>B_Mujeres</x:v>
      </x:c>
      <x:c r="B53" s="152" t="str">
        <x:v>B</x:v>
      </x:c>
      <x:c r="C53" s="152" t="str">
        <x:v>Women</x:v>
      </x:c>
      <x:c r="D53" s="152" t="str">
        <x:v>Medium adenomas</x:v>
      </x:c>
      <x:c r="E53" s="152" t="n">
        <x:v>25014</x:v>
      </x:c>
      <x:c r="F53" s="205" t="n">
        <x:v>0.0580589288039303</x:v>
      </x:c>
      <x:c r="G53" s="205" t="n">
        <x:v>0.0144133880178737</x:v>
      </x:c>
      <x:c r="H53" s="205" t="n">
        <x:v>0.111987108590622</x:v>
      </x:c>
      <x:c r="I53" s="206" t="n">
        <x:v>0.0580589288039303</x:v>
      </x:c>
      <x:c r="J53" s="206" t="n">
        <x:v>0.0144133880178737</x:v>
      </x:c>
      <x:c r="K53" s="206" t="n">
        <x:v>0.111987108590622</x:v>
      </x:c>
      <x:c r="L53" s="207" t="n">
        <x:v>0</x:v>
      </x:c>
      <x:c r="M53" s="207" t="n">
        <x:v>0</x:v>
      </x:c>
      <x:c r="N53" s="207" t="n">
        <x:v>0</x:v>
      </x:c>
    </x:row>
    <x:row r="54">
      <x:c r="A54" s="152" t="str">
        <x:v>B_Mujeres</x:v>
      </x:c>
      <x:c r="B54" s="152" t="str">
        <x:v>B</x:v>
      </x:c>
      <x:c r="C54" s="152" t="str">
        <x:v>Women</x:v>
      </x:c>
      <x:c r="D54" s="152" t="str">
        <x:v>Large adenomas</x:v>
      </x:c>
      <x:c r="E54" s="152" t="n">
        <x:v>25014</x:v>
      </x:c>
      <x:c r="F54" s="205" t="n">
        <x:v>0.044911630453306</x:v>
      </x:c>
      <x:c r="G54" s="205" t="n">
        <x:v>0.0169917605658716</x:v>
      </x:c>
      <x:c r="H54" s="205" t="n">
        <x:v>0.0784660150295254</x:v>
      </x:c>
      <x:c r="I54" s="206" t="n">
        <x:v>0.044911630453306</x:v>
      </x:c>
      <x:c r="J54" s="206" t="n">
        <x:v>0.0169917605658716</x:v>
      </x:c>
      <x:c r="K54" s="206" t="n">
        <x:v>0.0784660150295254</x:v>
      </x:c>
      <x:c r="L54" s="207" t="n">
        <x:v>0</x:v>
      </x:c>
      <x:c r="M54" s="207" t="n">
        <x:v>0</x:v>
      </x:c>
      <x:c r="N54" s="207" t="n">
        <x:v>0</x:v>
      </x:c>
    </x:row>
    <x:row r="55">
      <x:c r="A55" s="152" t="str">
        <x:v>B_Mujeres</x:v>
      </x:c>
      <x:c r="B55" s="152" t="str">
        <x:v>B</x:v>
      </x:c>
      <x:c r="C55" s="152" t="str">
        <x:v>Women</x:v>
      </x:c>
      <x:c r="D55" s="152" t="str">
        <x:v>Low risk adenomas</x:v>
      </x:c>
      <x:c r="E55" s="152" t="n">
        <x:v>25014</x:v>
      </x:c>
      <x:c r="F55" s="205" t="n">
        <x:v>0.175703373548723</x:v>
      </x:c>
      <x:c r="G55" s="205" t="n">
        <x:v>0.0601762944284679</x:v>
      </x:c>
      <x:c r="H55" s="205" t="n">
        <x:v>0.311016153826042</x:v>
      </x:c>
      <x:c r="I55" s="206" t="n">
        <x:v>0.175703373548723</x:v>
      </x:c>
      <x:c r="J55" s="206" t="n">
        <x:v>0.0601762944284679</x:v>
      </x:c>
      <x:c r="K55" s="206" t="n">
        <x:v>0.311016153826042</x:v>
      </x:c>
      <x:c r="L55" s="207" t="n">
        <x:v>0</x:v>
      </x:c>
      <x:c r="M55" s="207" t="n">
        <x:v>0</x:v>
      </x:c>
      <x:c r="N55" s="207" t="n">
        <x:v>0</x:v>
      </x:c>
    </x:row>
    <x:row r="56">
      <x:c r="A56" s="152" t="str">
        <x:v>B_Mujeres</x:v>
      </x:c>
      <x:c r="B56" s="152" t="str">
        <x:v>B</x:v>
      </x:c>
      <x:c r="C56" s="152" t="str">
        <x:v>Women</x:v>
      </x:c>
      <x:c r="D56" s="152" t="str">
        <x:v>High risk adenomas</x:v>
      </x:c>
      <x:c r="E56" s="152" t="n">
        <x:v>25014</x:v>
      </x:c>
      <x:c r="F56" s="205" t="n">
        <x:v>0.0807739787373407</x:v>
      </x:c>
      <x:c r="G56" s="205" t="n">
        <x:v>0.0381851630589093</x:v>
      </x:c>
      <x:c r="H56" s="205" t="n">
        <x:v>0.13059799481965</x:v>
      </x:c>
      <x:c r="I56" s="206" t="n">
        <x:v>0.0807739787373407</x:v>
      </x:c>
      <x:c r="J56" s="206" t="n">
        <x:v>0.0381851630589093</x:v>
      </x:c>
      <x:c r="K56" s="206" t="n">
        <x:v>0.13059799481965</x:v>
      </x:c>
      <x:c r="L56" s="207" t="n">
        <x:v>0</x:v>
      </x:c>
      <x:c r="M56" s="207" t="n">
        <x:v>0</x:v>
      </x:c>
      <x:c r="N56" s="207" t="n">
        <x:v>0</x:v>
      </x:c>
    </x:row>
    <x:row r="57">
      <x:c r="A57" s="152" t="str">
        <x:v>B_Mujeres</x:v>
      </x:c>
      <x:c r="B57" s="152" t="str">
        <x:v>B</x:v>
      </x:c>
      <x:c r="C57" s="152" t="str">
        <x:v>Women</x:v>
      </x:c>
      <x:c r="D57" s="152" t="str">
        <x:v>Cancer</x:v>
      </x:c>
      <x:c r="E57" s="152" t="n">
        <x:v>25014</x:v>
      </x:c>
      <x:c r="F57" s="205" t="n">
        <x:v>0.00165130912629188</x:v>
      </x:c>
      <x:c r="G57" s="205" t="n">
        <x:v>0.000090945474385176</x:v>
      </x:c>
      <x:c r="H57" s="205" t="n">
        <x:v>0.00399252541479125</x:v>
      </x:c>
      <x:c r="I57" s="206" t="n">
        <x:v>0.00165130912629188</x:v>
      </x:c>
      <x:c r="J57" s="206" t="n">
        <x:v>0.000090945474385176</x:v>
      </x:c>
      <x:c r="K57" s="206" t="n">
        <x:v>0.00399252541479125</x:v>
      </x:c>
      <x:c r="L57" s="207" t="n">
        <x:v>0</x:v>
      </x:c>
      <x:c r="M57" s="207" t="n">
        <x:v>0</x:v>
      </x:c>
      <x:c r="N57" s="207" t="n">
        <x:v>0</x:v>
      </x:c>
    </x:row>
    <x:row r="58">
      <x:c r="A58" s="152" t="str">
        <x:v>B_Mujeres</x:v>
      </x:c>
      <x:c r="B58" s="152" t="str">
        <x:v>B</x:v>
      </x:c>
      <x:c r="C58" s="152" t="str">
        <x:v>Women</x:v>
      </x:c>
      <x:c r="D58" s="152" t="str">
        <x:v>Any adenoma</x:v>
      </x:c>
      <x:c r="E58" s="152" t="n">
        <x:v>25014</x:v>
      </x:c>
      <x:c r="F58" s="205" t="n">
        <x:v>0.255653811276345</x:v>
      </x:c>
      <x:c r="G58" s="205" t="n">
        <x:v>0.143051760028438</x:v>
      </x:c>
      <x:c r="H58" s="205" t="n">
        <x:v>0.371455757987355</x:v>
      </x:c>
      <x:c r="I58" s="206" t="n">
        <x:v>0.282994734157649</x:v>
      </x:c>
      <x:c r="J58" s="206" t="n">
        <x:v>0.16802988674639</x:v>
      </x:c>
      <x:c r="K58" s="206" t="n">
        <x:v>0.404053647270057</x:v>
      </x:c>
      <x:c r="L58" s="207" t="n">
        <x:v>2.73409228813041</x:v>
      </x:c>
      <x:c r="M58" s="207" t="n">
        <x:v>-5.29389027195632</x:v>
      </x:c>
      <x:c r="N58" s="207" t="n">
        <x:v>11.2340762145778</x:v>
      </x:c>
    </x:row>
    <x:row r="61" ht="34" customHeight="1">
      <x:c r="A61" s="211" t="str">
        <x:v>Adjusted detection-rate formula: D / (FIT sensitivity × colonoscopy adherence). It does not correct for colonoscopy sensitivity and is not the ADR.</x:v>
      </x:c>
      <x:c r="B61" s="211"/>
      <x:c r="C61" s="211"/>
      <x:c r="D61" s="211"/>
      <x:c r="E61" s="211"/>
      <x:c r="F61" s="211"/>
      <x:c r="G61" s="211"/>
      <x:c r="H61" s="211"/>
      <x:c r="I61" s="211"/>
      <x:c r="J61" s="211"/>
      <x:c r="K61" s="211"/>
      <x:c r="L61" s="211"/>
      <x:c r="M61" s="211"/>
      <x:c r="N61" s="211"/>
    </x:row>
  </x:sheetData>
  <x:mergeCells>
    <x:mergeCell ref="A1:N1"/>
    <x:mergeCell ref="A2:N2"/>
    <x:mergeCell ref="A61:N61"/>
  </x:mergeCells>
  <x:pageMargins left="0.7" right="0.7" top="0.75" bottom="0.75" header="0.3" footer="0.3"/>
  <x:tableParts count="1">
    <x:tablePart xmlns:r="http://schemas.openxmlformats.org/officeDocument/2006/relationships" r:id="R98baa5c9c174400b"/>
  </x:tableParts>
</x:worksheet>
</file>

<file path=xl/worksheets/sheet10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4" hidden="0" customWidth="1"/>
    <x:col min="4" max="4" width="13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196" t="str">
        <x:v>Observed adenoma detection rate</x:v>
      </x:c>
      <x:c r="B1" s="196"/>
      <x:c r="C1" s="196"/>
      <x:c r="D1" s="196"/>
      <x:c r="E1" s="196"/>
      <x:c r="F1" s="196"/>
      <x:c r="G1" s="196"/>
      <x:c r="H1" s="196"/>
      <x:c r="I1" s="196"/>
      <x:c r="J1" s="196"/>
    </x:row>
    <x:row r="2" ht="31" customHeight="1">
      <x:c r="A2" s="200" t="str">
        <x:v>Conventional ADR: patients with any adenoma divided by completed colonoscopies; no sensitivity correction</x:v>
      </x:c>
      <x:c r="B2" s="200"/>
      <x:c r="C2" s="200"/>
      <x:c r="D2" s="200"/>
      <x:c r="E2" s="200"/>
      <x:c r="F2" s="200"/>
      <x:c r="G2" s="200"/>
      <x:c r="H2" s="200"/>
      <x:c r="I2" s="200"/>
      <x:c r="J2" s="200"/>
    </x:row>
    <x:row r="4">
      <x:c r="A4" s="204" t="str">
        <x:v>Analysis</x:v>
      </x:c>
      <x:c r="B4" s="204" t="str">
        <x:v>Base</x:v>
      </x:c>
      <x:c r="C4" s="204" t="str">
        <x:v>Sex</x:v>
      </x:c>
      <x:c r="D4" s="204" t="str">
        <x:v>Population</x:v>
      </x:c>
      <x:c r="E4" s="204" t="str">
        <x:v>Adenomas detected</x:v>
      </x:c>
      <x:c r="F4" s="204" t="str">
        <x:v>Completed colonoscopies</x:v>
      </x:c>
      <x:c r="G4" s="204" t="str">
        <x:v>ADR</x:v>
      </x:c>
      <x:c r="H4" s="204" t="str">
        <x:v>ADR 95% CI lower</x:v>
      </x:c>
      <x:c r="I4" s="204" t="str">
        <x:v>ADR 95% CI upper</x:v>
      </x:c>
      <x:c r="J4" s="204" t="str">
        <x:v>Observed program yield</x:v>
      </x:c>
    </x:row>
    <x:row r="5">
      <x:c r="A5" s="152" t="str">
        <x:v>A_Total</x:v>
      </x:c>
      <x:c r="B5" s="152" t="str">
        <x:v>A</x:v>
      </x:c>
      <x:c r="C5" s="152" t="str">
        <x:v>Both sexes</x:v>
      </x:c>
      <x:c r="D5" s="152" t="n">
        <x:v>34241</x:v>
      </x:c>
      <x:c r="E5" s="152" t="n">
        <x:v>994</x:v>
      </x:c>
      <x:c r="F5" s="152" t="n">
        <x:v>2323</x:v>
      </x:c>
      <x:c r="G5" s="205" t="n">
        <x:v>0.427894963409384</x:v>
      </x:c>
      <x:c r="H5" s="205" t="n">
        <x:v>0.407910175007136</x:v>
      </x:c>
      <x:c r="I5" s="205" t="n">
        <x:v>0.448117832947567</x:v>
      </x:c>
      <x:c r="J5" s="205" t="n">
        <x:v>0.0290295260068339</x:v>
      </x:c>
    </x:row>
    <x:row r="6">
      <x:c r="A6" s="152" t="str">
        <x:v>A_Hombres</x:v>
      </x:c>
      <x:c r="B6" s="152" t="str">
        <x:v>A</x:v>
      </x:c>
      <x:c r="C6" s="152" t="str">
        <x:v>Men</x:v>
      </x:c>
      <x:c r="D6" s="152" t="n">
        <x:v>9227</x:v>
      </x:c>
      <x:c r="E6" s="152" t="n">
        <x:v>380</x:v>
      </x:c>
      <x:c r="F6" s="152" t="n">
        <x:v>749</x:v>
      </x:c>
      <x:c r="G6" s="205" t="n">
        <x:v>0.507343124165554</x:v>
      </x:c>
      <x:c r="H6" s="205" t="n">
        <x:v>0.471593198085606</x:v>
      </x:c>
      <x:c r="I6" s="205" t="n">
        <x:v>0.543018111999829</x:v>
      </x:c>
      <x:c r="J6" s="205" t="n">
        <x:v>0.0411834832556627</x:v>
      </x:c>
    </x:row>
    <x:row r="7">
      <x:c r="A7" s="152" t="str">
        <x:v>A_Mujeres</x:v>
      </x:c>
      <x:c r="B7" s="152" t="str">
        <x:v>A</x:v>
      </x:c>
      <x:c r="C7" s="152" t="str">
        <x:v>Women</x:v>
      </x:c>
      <x:c r="D7" s="152" t="n">
        <x:v>25014</x:v>
      </x:c>
      <x:c r="E7" s="152" t="n">
        <x:v>614</x:v>
      </x:c>
      <x:c r="F7" s="152" t="n">
        <x:v>1574</x:v>
      </x:c>
      <x:c r="G7" s="205" t="n">
        <x:v>0.390088945362135</x:v>
      </x:c>
      <x:c r="H7" s="205" t="n">
        <x:v>0.366287522590155</x:v>
      </x:c>
      <x:c r="I7" s="205" t="n">
        <x:v>0.4144255534507</x:v>
      </x:c>
      <x:c r="J7" s="205" t="n">
        <x:v>0.0245462540977053</x:v>
      </x:c>
    </x:row>
    <x:row r="8">
      <x:c r="A8" s="152" t="str">
        <x:v>B_Total</x:v>
      </x:c>
      <x:c r="B8" s="152" t="str">
        <x:v>B</x:v>
      </x:c>
      <x:c r="C8" s="152" t="str">
        <x:v>Both sexes</x:v>
      </x:c>
      <x:c r="D8" s="152" t="n">
        <x:v>34241</x:v>
      </x:c>
      <x:c r="E8" s="152" t="n">
        <x:v>1015</x:v>
      </x:c>
      <x:c r="F8" s="152" t="n">
        <x:v>2315</x:v>
      </x:c>
      <x:c r="G8" s="205" t="n">
        <x:v>0.438444924406048</x:v>
      </x:c>
      <x:c r="H8" s="205" t="n">
        <x:v>0.418350598880745</x:v>
      </x:c>
      <x:c r="I8" s="205" t="n">
        <x:v>0.458743197715015</x:v>
      </x:c>
      <x:c r="J8" s="205" t="n">
        <x:v>0.0296428258520487</x:v>
      </x:c>
    </x:row>
    <x:row r="9">
      <x:c r="A9" s="152" t="str">
        <x:v>B_Hombres</x:v>
      </x:c>
      <x:c r="B9" s="152" t="str">
        <x:v>B</x:v>
      </x:c>
      <x:c r="C9" s="152" t="str">
        <x:v>Men</x:v>
      </x:c>
      <x:c r="D9" s="152" t="n">
        <x:v>9227</x:v>
      </x:c>
      <x:c r="E9" s="152" t="n">
        <x:v>372</x:v>
      </x:c>
      <x:c r="F9" s="152" t="n">
        <x:v>752</x:v>
      </x:c>
      <x:c r="G9" s="205" t="n">
        <x:v>0.49468085106383</x:v>
      </x:c>
      <x:c r="H9" s="205" t="n">
        <x:v>0.459064553485238</x:v>
      </x:c>
      <x:c r="I9" s="205" t="n">
        <x:v>0.530351216307965</x:v>
      </x:c>
      <x:c r="J9" s="205" t="n">
        <x:v>0.0403164625555435</x:v>
      </x:c>
    </x:row>
    <x:row r="10">
      <x:c r="A10" s="152" t="str">
        <x:v>B_Mujeres</x:v>
      </x:c>
      <x:c r="B10" s="152" t="str">
        <x:v>B</x:v>
      </x:c>
      <x:c r="C10" s="152" t="str">
        <x:v>Women</x:v>
      </x:c>
      <x:c r="D10" s="152" t="n">
        <x:v>25014</x:v>
      </x:c>
      <x:c r="E10" s="152" t="n">
        <x:v>643</x:v>
      </x:c>
      <x:c r="F10" s="152" t="n">
        <x:v>1563</x:v>
      </x:c>
      <x:c r="G10" s="205" t="n">
        <x:v>0.411388355726168</x:v>
      </x:c>
      <x:c r="H10" s="205" t="n">
        <x:v>0.387239101358379</x:v>
      </x:c>
      <x:c r="I10" s="205" t="n">
        <x:v>0.43597211223276</x:v>
      </x:c>
      <x:c r="J10" s="205" t="n">
        <x:v>0.0257056048612777</x:v>
      </x:c>
    </x:row>
    <x:row r="13" ht="31" customHeight="1">
      <x:c r="A13" s="215" t="str">
        <x:v>ADR denominator: completed colonoscopies. Observed program yield denominator: the full model population. Neither descriptive measure is sensitivity-adjusted or substituted for prevalence.</x:v>
      </x:c>
      <x:c r="B13" s="215"/>
      <x:c r="C13" s="215"/>
      <x:c r="D13" s="215"/>
      <x:c r="E13" s="215"/>
      <x:c r="F13" s="215"/>
      <x:c r="G13" s="215"/>
      <x:c r="H13" s="215"/>
      <x:c r="I13" s="215"/>
      <x:c r="J13" s="215"/>
    </x:row>
  </x:sheetData>
  <x:mergeCells>
    <x:mergeCell ref="A1:J1"/>
    <x:mergeCell ref="A2:J2"/>
    <x:mergeCell ref="A13:J13"/>
  </x:mergeCells>
  <x:pageMargins left="0.7" right="0.7" top="0.75" bottom="0.75" header="0.3" footer="0.3"/>
  <x:tableParts count="1">
    <x:tablePart xmlns:r="http://schemas.openxmlformats.org/officeDocument/2006/relationships" r:id="R78a597b32825448c"/>
  </x:tableParts>
</x:worksheet>
</file>

<file path=xl/worksheets/sheet1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232" t="str">
        <x:v>Any adenoma: manuscript figure set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</x:row>
    <x:row r="2" ht="30" customHeight="1">
      <x:c r="A2" s="236" t="str">
        <x:v>Point estimates and 95% intervals for both sexes; publication files are available as PDF, SVG, 600-dpi PNG, and 1000-dpi LZW TIFF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</x:row>
    <x:row r="4">
      <x:c r="A4" s="239" t="str">
        <x:v>A. Modelled prevalence: local versus literature FIT sensitivity</x:v>
      </x:c>
      <x:c r="B4" s="239"/>
      <x:c r="C4" s="239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</x:row>
    <x:row r="31">
      <x:c r="A31" s="239" t="str">
        <x:v>B. Adjusted programme detection rate: local versus literature FIT sensitivity</x:v>
      </x:c>
      <x:c r="B31" s="239"/>
      <x:c r="C31" s="239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</x:row>
    <x:row r="58">
      <x:c r="A58" s="239" t="str">
        <x:v>C. Conventional observed colonoscopy ADR: no sensitivity correction</x:v>
      </x:c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</x:row>
    <x:row r="85" ht="31" customHeight="1">
      <x:c r="A85" s="243" t="str">
        <x:v>Adjusted detection rate = D / (FIT sensitivity × colonoscopy adherence); prevalence = adjusted detection rate / colonoscopy sensitivity; ADR = any adenoma / completed colonoscopies.</x:v>
      </x:c>
      <x:c r="B85" s="243"/>
      <x:c r="C85" s="243"/>
      <x:c r="D85" s="243"/>
      <x:c r="E85" s="243"/>
      <x:c r="F85" s="243"/>
      <x:c r="G85" s="243"/>
      <x:c r="H85" s="243"/>
      <x:c r="I85" s="243"/>
      <x:c r="J85" s="243"/>
      <x:c r="K85" s="243"/>
      <x:c r="L85" s="243"/>
      <x:c r="M85" s="243"/>
      <x:c r="N85" s="243"/>
    </x:row>
  </x:sheetData>
  <x:mergeCells>
    <x:mergeCell ref="A1:N1"/>
    <x:mergeCell ref="A2:N2"/>
    <x:mergeCell ref="A4:N4"/>
    <x:mergeCell ref="A31:N31"/>
    <x:mergeCell ref="A58:N58"/>
    <x:mergeCell ref="A85:N85"/>
  </x:mergeCells>
  <x:pageMargins left="0.7" right="0.7" top="0.75" bottom="0.75" header="0.3" footer="0.3"/>
  <x:drawing xmlns:r="http://schemas.openxmlformats.org/officeDocument/2006/relationships" r:id="Rdc67ce5fd006416e"/>
</x:worksheet>
</file>