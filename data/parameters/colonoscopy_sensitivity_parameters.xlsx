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0c28c06a734a0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rametros_modelo" sheetId="1" r:id="R9140e9639a6a4d97"/>
    <x:sheet xmlns:r="http://schemas.openxmlformats.org/officeDocument/2006/relationships" name="Evidencia_fuente" sheetId="2" r:id="R3328f31344914e8e"/>
    <x:sheet xmlns:r="http://schemas.openxmlformats.org/officeDocument/2006/relationships" name="Diccionario" sheetId="3" r:id="Rfb56b030aff24d39"/>
    <x:sheet xmlns:r="http://schemas.openxmlformats.org/officeDocument/2006/relationships" name="Calculo_low_risk" sheetId="4" r:id="Rf27bbcdb923e4b79"/>
    <x:sheet xmlns:r="http://schemas.openxmlformats.org/officeDocument/2006/relationships" name="Calculo_especificidad" sheetId="5" r:id="Rd59320816f9f416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0000"/>
    <x:numFmt numFmtId="201" formatCode="0.000"/>
    <x:numFmt numFmtId="202" formatCode="0.0"/>
    <x:numFmt numFmtId="203" formatCode="0"/>
  </x:numFmts>
  <x:fonts count="7">
    <x:font>
      <x:sz val="11"/>
      <x:name val="Carlito"/>
    </x:font>
    <x:font>
      <x:b/>
      <x:sz val="10"/>
      <x:color rgb="FFFFFFFF"/>
      <x:name val="Arial"/>
    </x:font>
    <x:font>
      <x:b/>
      <x:sz val="10"/>
      <x:color rgb="FF1F2937"/>
      <x:name val="Arial"/>
    </x:font>
    <x:font>
      <x:sz val="10"/>
      <x:color rgb="FF1F2937"/>
      <x:name val="Arial"/>
    </x:font>
    <x:font>
      <x:b/>
      <x:sz val="10"/>
      <x:color rgb="FF1F4E78"/>
      <x:name val="Arial"/>
    </x:font>
    <x:font>
      <x:b/>
      <x:sz val="14"/>
      <x:color rgb="FFFFFFFF"/>
      <x:name val="Arial"/>
    </x:font>
    <x:font>
      <x:i/>
      <x:sz val="10"/>
      <x:color rgb="FF1F2937"/>
      <x:name val="Arial"/>
    </x:font>
  </x:fonts>
  <x:fills count="30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  <x:fill>
      <x:patternFill patternType="solid">
        <x:fgColor rgb="FFF2F2F2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</x:fills>
  <x:borders count="4">
    <x:border/>
    <x:border>
      <x:left style="thin">
        <x:color rgb="FF163A5C"/>
      </x:left>
      <x:top style="thin">
        <x:color rgb="FF163A5C"/>
      </x:top>
      <x:bottom style="thin">
        <x:color rgb="FF163A5C"/>
      </x:bottom>
    </x:border>
    <x:border>
      <x:top style="thin">
        <x:color rgb="FF163A5C"/>
      </x:top>
      <x:bottom style="thin">
        <x:color rgb="FF163A5C"/>
      </x:bottom>
    </x:border>
    <x:border>
      <x:right style="thin">
        <x:color rgb="FF163A5C"/>
      </x:right>
      <x:top style="thin">
        <x:color rgb="FF163A5C"/>
      </x:top>
      <x:bottom style="thin">
        <x:color rgb="FF163A5C"/>
      </x:bottom>
    </x:border>
  </x:borders>
  <x:cellStyleXfs count="1">
    <x:xf numFmtId="0" fontId="0" fillId="0" borderId="0"/>
  </x:cellStyleXfs>
  <x:cellXfs count="21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200" fontId="0" fillId="3" borderId="0" xfId="0" applyNumberFormat="1" applyFont="1" applyFill="1" applyBorder="1" applyAlignment="1">
      <x:alignment wrapText="1"/>
    </x:xf>
    <x:xf numFmtId="201" fontId="0" fillId="3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3" borderId="0" xfId="0" applyNumberFormat="1" applyFont="1" applyFill="1" applyBorder="1" applyAlignment="1">
      <x:alignment wrapText="1"/>
    </x:xf>
    <x:xf numFmtId="200" fontId="0" fillId="4" borderId="0" xfId="0" applyNumberFormat="1" applyFont="1" applyFill="1" applyBorder="1" applyAlignment="1">
      <x:alignment wrapText="1"/>
    </x:xf>
    <x:xf numFmtId="201" fontId="0" fillId="4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 applyAlignment="1">
      <x:alignment wrapText="1"/>
    </x:xf>
    <x:xf numFmtId="200" fontId="3" fillId="4" borderId="0" xfId="0" applyNumberFormat="1" applyFont="1" applyFill="1" applyBorder="1" applyAlignment="1">
      <x:alignment wrapText="1"/>
    </x:xf>
    <x:xf numFmtId="201" fontId="3" fillId="4" borderId="0" xfId="0" applyNumberFormat="1" applyFont="1" applyFill="1" applyBorder="1" applyAlignment="1">
      <x:alignment wrapText="1"/>
    </x:xf>
    <x:xf numFmtId="201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3" fillId="0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wrapText="1"/>
    </x:xf>
    <x:xf numFmtId="201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3" fillId="3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vertical="top" wrapText="1"/>
    </x:xf>
    <x:xf numFmtId="0" fontId="2" fillId="2" borderId="2" xfId="0" applyNumberFormat="1" applyFont="1" applyFill="1" applyBorder="1" applyAlignment="1">
      <x:alignment horizontal="center" vertical="top" wrapText="1"/>
    </x:xf>
    <x:xf numFmtId="0" fontId="2" fillId="2" borderId="3" xfId="0" applyNumberFormat="1" applyFont="1" applyFill="1" applyBorder="1" applyAlignment="1">
      <x:alignment horizontal="center" vertical="top" wrapText="1"/>
    </x:xf>
    <x:xf numFmtId="0" fontId="3" fillId="0" borderId="0" xfId="0" applyNumberFormat="1" applyFont="1" applyFill="1" applyBorder="1" applyAlignment="1">
      <x:alignment vertical="top" wrapText="1"/>
    </x:xf>
    <x:xf numFmtId="200" fontId="3" fillId="4" borderId="0" xfId="0" applyNumberFormat="1" applyFont="1" applyFill="1" applyBorder="1" applyAlignment="1">
      <x:alignment vertical="top" wrapText="1"/>
    </x:xf>
    <x:xf numFmtId="201" fontId="3" fillId="4" borderId="0" xfId="0" applyNumberFormat="1" applyFont="1" applyFill="1" applyBorder="1" applyAlignment="1">
      <x:alignment vertical="top" wrapText="1"/>
    </x:xf>
    <x:xf numFmtId="201" fontId="3" fillId="0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3" fillId="0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  <x:xf numFmtId="201" fontId="3" fillId="3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3" fillId="3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5" borderId="0" xfId="0" applyNumberFormat="1" applyFont="1" applyFill="1" applyBorder="1" applyAlignment="1">
      <x:alignment vertical="top" wrapText="1"/>
    </x:xf>
    <x:xf numFmtId="0" fontId="3" fillId="5" borderId="0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horizontal="left"/>
    </x:xf>
    <x:xf numFmtId="0" fontId="5" fillId="6" borderId="0" xfId="0" applyNumberFormat="1" applyFont="1" applyFill="1" applyBorder="1" applyAlignment="1">
      <x:alignment horizontal="left" vertical="center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wrapText="1"/>
    </x:xf>
    <x:xf numFmtId="0" fontId="6" fillId="7" borderId="0" xfId="0" applyNumberFormat="1" applyFont="1" applyFill="1" applyBorder="1" applyAlignment="1">
      <x:alignment vertical="center" wrapText="1"/>
    </x:xf>
    <x:xf numFmtId="0" fontId="1" fillId="6" borderId="0" xfId="0" applyNumberFormat="1" applyFont="1" applyFill="1" applyBorder="1"/>
    <x:xf numFmtId="0" fontId="1" fillId="6" borderId="1" xfId="0" applyNumberFormat="1" applyFont="1" applyFill="1" applyBorder="1"/>
    <x:xf numFmtId="0" fontId="1" fillId="6" borderId="2" xfId="0" applyNumberFormat="1" applyFont="1" applyFill="1" applyBorder="1"/>
    <x:xf numFmtId="0" fontId="1" fillId="6" borderId="3" xfId="0" applyNumberFormat="1" applyFont="1" applyFill="1" applyBorder="1"/>
    <x:xf numFmtId="0" fontId="1" fillId="6" borderId="1" xfId="0" applyNumberFormat="1" applyFont="1" applyFill="1" applyBorder="1" applyAlignment="1">
      <x:alignment wrapText="1"/>
    </x:xf>
    <x:xf numFmtId="0" fontId="1" fillId="6" borderId="2" xfId="0" applyNumberFormat="1" applyFont="1" applyFill="1" applyBorder="1" applyAlignment="1">
      <x:alignment wrapText="1"/>
    </x:xf>
    <x:xf numFmtId="0" fontId="1" fillId="6" borderId="3" xfId="0" applyNumberFormat="1" applyFont="1" applyFill="1" applyBorder="1" applyAlignment="1">
      <x:alignment wrapText="1"/>
    </x:xf>
    <x:xf numFmtId="0" fontId="1" fillId="6" borderId="1" xfId="0" applyNumberFormat="1" applyFont="1" applyFill="1" applyBorder="1" applyAlignment="1">
      <x:alignment horizontal="center" wrapText="1"/>
    </x:xf>
    <x:xf numFmtId="0" fontId="1" fillId="6" borderId="2" xfId="0" applyNumberFormat="1" applyFont="1" applyFill="1" applyBorder="1" applyAlignment="1">
      <x:alignment horizontal="center" wrapText="1"/>
    </x:xf>
    <x:xf numFmtId="0" fontId="1" fillId="6" borderId="3" xfId="0" applyNumberFormat="1" applyFont="1" applyFill="1" applyBorder="1" applyAlignment="1">
      <x:alignment horizontal="center" wrapText="1"/>
    </x:xf>
    <x:xf numFmtId="0" fontId="1" fillId="6" borderId="1" xfId="0" applyNumberFormat="1" applyFont="1" applyFill="1" applyBorder="1" applyAlignment="1">
      <x:alignment horizontal="center" vertical="center" wrapText="1"/>
    </x:xf>
    <x:xf numFmtId="0" fontId="1" fillId="6" borderId="2" xfId="0" applyNumberFormat="1" applyFont="1" applyFill="1" applyBorder="1" applyAlignment="1">
      <x:alignment horizontal="center" vertical="center" wrapText="1"/>
    </x:xf>
    <x:xf numFmtId="0" fontId="1" fillId="6" borderId="3" xfId="0" applyNumberFormat="1" applyFont="1" applyFill="1" applyBorder="1" applyAlignment="1">
      <x:alignment horizontal="center" vertical="center" wrapText="1"/>
    </x:xf>
    <x:xf numFmtId="203" fontId="0" fillId="0" borderId="0" xfId="0" applyNumberFormat="1" applyFont="1" applyFill="1" applyBorder="1"/>
    <x:xf numFmtId="203" fontId="0" fillId="0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 applyAlignment="1">
      <x:alignment wrapText="1"/>
    </x:xf>
    <x:xf numFmtId="200" fontId="0" fillId="8" borderId="0" xfId="0" applyNumberFormat="1" applyFont="1" applyFill="1" applyBorder="1" applyAlignment="1">
      <x:alignment wrapText="1"/>
    </x:xf>
    <x:xf numFmtId="203" fontId="0" fillId="8" borderId="0" xfId="0" applyNumberFormat="1" applyFont="1" applyFill="1" applyBorder="1" applyAlignment="1">
      <x:alignment wrapText="1"/>
    </x:xf>
    <x:xf numFmtId="0" fontId="0" fillId="9" borderId="0" xfId="0" applyNumberFormat="1" applyFont="1" applyFill="1" applyBorder="1" applyAlignment="1">
      <x:alignment wrapText="1"/>
    </x:xf>
    <x:xf numFmtId="200" fontId="0" fillId="9" borderId="0" xfId="0" applyNumberFormat="1" applyFont="1" applyFill="1" applyBorder="1" applyAlignment="1">
      <x:alignment wrapText="1"/>
    </x:xf>
    <x:xf numFmtId="203" fontId="0" fillId="9" borderId="0" xfId="0" applyNumberFormat="1" applyFont="1" applyFill="1" applyBorder="1" applyAlignment="1">
      <x:alignment wrapText="1"/>
    </x:xf>
    <x:xf numFmtId="0" fontId="2" fillId="6" borderId="0" xfId="0" applyNumberFormat="1" applyFont="1" applyFill="1" applyBorder="1" applyAlignment="1">
      <x:alignment horizontal="left" vertical="center"/>
    </x:xf>
    <x:xf numFmtId="0" fontId="3" fillId="0" borderId="0" xfId="0" applyNumberFormat="1" applyFont="1" applyFill="1" applyBorder="1"/>
    <x:xf numFmtId="0" fontId="2" fillId="6" borderId="1" xfId="0" applyNumberFormat="1" applyFont="1" applyFill="1" applyBorder="1" applyAlignment="1">
      <x:alignment horizontal="center" vertical="center" wrapText="1"/>
    </x:xf>
    <x:xf numFmtId="0" fontId="2" fillId="6" borderId="2" xfId="0" applyNumberFormat="1" applyFont="1" applyFill="1" applyBorder="1" applyAlignment="1">
      <x:alignment horizontal="center" vertical="center" wrapText="1"/>
    </x:xf>
    <x:xf numFmtId="0" fontId="2" fillId="6" borderId="3" xfId="0" applyNumberFormat="1" applyFont="1" applyFill="1" applyBorder="1" applyAlignment="1">
      <x:alignment horizontal="center" vertical="center" wrapText="1"/>
    </x:xf>
    <x:xf numFmtId="203" fontId="3" fillId="0" borderId="0" xfId="0" applyNumberFormat="1" applyFont="1" applyFill="1" applyBorder="1" applyAlignment="1">
      <x:alignment wrapText="1"/>
    </x:xf>
    <x:xf numFmtId="200" fontId="3" fillId="0" borderId="0" xfId="0" applyNumberFormat="1" applyFont="1" applyFill="1" applyBorder="1" applyAlignment="1">
      <x:alignment wrapText="1"/>
    </x:xf>
    <x:xf numFmtId="0" fontId="3" fillId="8" borderId="0" xfId="0" applyNumberFormat="1" applyFont="1" applyFill="1" applyBorder="1" applyAlignment="1">
      <x:alignment wrapText="1"/>
    </x:xf>
    <x:xf numFmtId="200" fontId="3" fillId="8" borderId="0" xfId="0" applyNumberFormat="1" applyFont="1" applyFill="1" applyBorder="1" applyAlignment="1">
      <x:alignment wrapText="1"/>
    </x:xf>
    <x:xf numFmtId="203" fontId="3" fillId="8" borderId="0" xfId="0" applyNumberFormat="1" applyFont="1" applyFill="1" applyBorder="1" applyAlignment="1">
      <x:alignment wrapText="1"/>
    </x:xf>
    <x:xf numFmtId="0" fontId="3" fillId="9" borderId="0" xfId="0" applyNumberFormat="1" applyFont="1" applyFill="1" applyBorder="1" applyAlignment="1">
      <x:alignment wrapText="1"/>
    </x:xf>
    <x:xf numFmtId="200" fontId="3" fillId="9" borderId="0" xfId="0" applyNumberFormat="1" applyFont="1" applyFill="1" applyBorder="1" applyAlignment="1">
      <x:alignment wrapText="1"/>
    </x:xf>
    <x:xf numFmtId="203" fontId="3" fillId="9" borderId="0" xfId="0" applyNumberFormat="1" applyFont="1" applyFill="1" applyBorder="1" applyAlignment="1">
      <x:alignment wrapText="1"/>
    </x:xf>
    <x:xf numFmtId="200" fontId="3" fillId="0" borderId="0" xfId="0" applyNumberFormat="1" applyFont="1" applyFill="1" applyBorder="1" applyAlignment="1">
      <x:alignment vertical="top" wrapText="1"/>
    </x:xf>
    <x:xf numFmtId="0" fontId="4" fillId="8" borderId="0" xfId="0" applyNumberFormat="1" applyFont="1" applyFill="1" applyBorder="1" applyAlignment="1">
      <x:alignment wrapText="1"/>
    </x:xf>
    <x:xf numFmtId="0" fontId="0" fillId="10" borderId="0" xfId="0" applyNumberFormat="1" applyFont="1" applyFill="1" applyBorder="1"/>
    <x:xf numFmtId="0" fontId="5" fillId="10" borderId="0" xfId="0" applyNumberFormat="1" applyFont="1" applyFill="1" applyBorder="1"/>
    <x:xf numFmtId="0" fontId="5" fillId="10" borderId="0" xfId="0" applyNumberFormat="1" applyFont="1" applyFill="1" applyBorder="1" applyAlignment="1">
      <x:alignment horizontal="left"/>
    </x:xf>
    <x:xf numFmtId="0" fontId="5" fillId="10" borderId="0" xfId="0" applyNumberFormat="1" applyFont="1" applyFill="1" applyBorder="1" applyAlignment="1">
      <x:alignment horizontal="left" vertical="center"/>
    </x:xf>
    <x:xf numFmtId="0" fontId="0" fillId="11" borderId="0" xfId="0" applyNumberFormat="1" applyFont="1" applyFill="1" applyBorder="1"/>
    <x:xf numFmtId="0" fontId="6" fillId="11" borderId="0" xfId="0" applyNumberFormat="1" applyFont="1" applyFill="1" applyBorder="1"/>
    <x:xf numFmtId="0" fontId="6" fillId="11" borderId="0" xfId="0" applyNumberFormat="1" applyFont="1" applyFill="1" applyBorder="1" applyAlignment="1">
      <x:alignment wrapText="1"/>
    </x:xf>
    <x:xf numFmtId="0" fontId="6" fillId="11" borderId="0" xfId="0" applyNumberFormat="1" applyFont="1" applyFill="1" applyBorder="1" applyAlignment="1">
      <x:alignment vertical="center" wrapText="1"/>
    </x:xf>
    <x:xf numFmtId="0" fontId="1" fillId="10" borderId="0" xfId="0" applyNumberFormat="1" applyFont="1" applyFill="1" applyBorder="1"/>
    <x:xf numFmtId="0" fontId="1" fillId="10" borderId="1" xfId="0" applyNumberFormat="1" applyFont="1" applyFill="1" applyBorder="1"/>
    <x:xf numFmtId="0" fontId="1" fillId="10" borderId="2" xfId="0" applyNumberFormat="1" applyFont="1" applyFill="1" applyBorder="1"/>
    <x:xf numFmtId="0" fontId="1" fillId="10" borderId="3" xfId="0" applyNumberFormat="1" applyFont="1" applyFill="1" applyBorder="1"/>
    <x:xf numFmtId="0" fontId="1" fillId="10" borderId="1" xfId="0" applyNumberFormat="1" applyFont="1" applyFill="1" applyBorder="1" applyAlignment="1">
      <x:alignment wrapText="1"/>
    </x:xf>
    <x:xf numFmtId="0" fontId="1" fillId="10" borderId="2" xfId="0" applyNumberFormat="1" applyFont="1" applyFill="1" applyBorder="1" applyAlignment="1">
      <x:alignment wrapText="1"/>
    </x:xf>
    <x:xf numFmtId="0" fontId="1" fillId="10" borderId="3" xfId="0" applyNumberFormat="1" applyFont="1" applyFill="1" applyBorder="1" applyAlignment="1">
      <x:alignment wrapText="1"/>
    </x:xf>
    <x:xf numFmtId="0" fontId="1" fillId="10" borderId="1" xfId="0" applyNumberFormat="1" applyFont="1" applyFill="1" applyBorder="1" applyAlignment="1">
      <x:alignment horizontal="center" wrapText="1"/>
    </x:xf>
    <x:xf numFmtId="0" fontId="1" fillId="10" borderId="2" xfId="0" applyNumberFormat="1" applyFont="1" applyFill="1" applyBorder="1" applyAlignment="1">
      <x:alignment horizontal="center" wrapText="1"/>
    </x:xf>
    <x:xf numFmtId="0" fontId="1" fillId="10" borderId="3" xfId="0" applyNumberFormat="1" applyFont="1" applyFill="1" applyBorder="1" applyAlignment="1">
      <x:alignment horizontal="center" wrapText="1"/>
    </x:xf>
    <x:xf numFmtId="0" fontId="1" fillId="10" borderId="1" xfId="0" applyNumberFormat="1" applyFont="1" applyFill="1" applyBorder="1" applyAlignment="1">
      <x:alignment horizontal="center" vertical="center" wrapText="1"/>
    </x:xf>
    <x:xf numFmtId="0" fontId="1" fillId="10" borderId="2" xfId="0" applyNumberFormat="1" applyFont="1" applyFill="1" applyBorder="1" applyAlignment="1">
      <x:alignment horizontal="center" vertical="center" wrapText="1"/>
    </x:xf>
    <x:xf numFmtId="0" fontId="1" fillId="10" borderId="3" xfId="0" applyNumberFormat="1" applyFont="1" applyFill="1" applyBorder="1" applyAlignment="1">
      <x:alignment horizontal="center" vertical="center" wrapText="1"/>
    </x:xf>
    <x:xf numFmtId="0" fontId="2" fillId="10" borderId="0" xfId="0" applyNumberFormat="1" applyFont="1" applyFill="1" applyBorder="1" applyAlignment="1">
      <x:alignment horizontal="left" vertical="center"/>
    </x:xf>
    <x:xf numFmtId="0" fontId="2" fillId="10" borderId="1" xfId="0" applyNumberFormat="1" applyFont="1" applyFill="1" applyBorder="1" applyAlignment="1">
      <x:alignment horizontal="center" vertical="center" wrapText="1"/>
    </x:xf>
    <x:xf numFmtId="0" fontId="2" fillId="10" borderId="2" xfId="0" applyNumberFormat="1" applyFont="1" applyFill="1" applyBorder="1" applyAlignment="1">
      <x:alignment horizontal="center" vertical="center" wrapText="1"/>
    </x:xf>
    <x:xf numFmtId="0" fontId="2" fillId="10" borderId="3" xfId="0" applyNumberFormat="1" applyFont="1" applyFill="1" applyBorder="1" applyAlignment="1">
      <x:alignment horizontal="center" vertical="center" wrapText="1"/>
    </x:xf>
    <x:xf numFmtId="200" fontId="3" fillId="0" borderId="0" xfId="0" applyNumberFormat="1" applyFont="1" applyFill="1" applyBorder="1"/>
    <x:xf numFmtId="0" fontId="3" fillId="12" borderId="0" xfId="0" applyNumberFormat="1" applyFont="1" applyFill="1" applyBorder="1" applyAlignment="1">
      <x:alignment wrapText="1"/>
    </x:xf>
    <x:xf numFmtId="200" fontId="3" fillId="12" borderId="0" xfId="0" applyNumberFormat="1" applyFont="1" applyFill="1" applyBorder="1" applyAlignment="1">
      <x:alignment wrapText="1"/>
    </x:xf>
    <x:xf numFmtId="0" fontId="3" fillId="13" borderId="0" xfId="0" applyNumberFormat="1" applyFont="1" applyFill="1" applyBorder="1" applyAlignment="1">
      <x:alignment wrapText="1"/>
    </x:xf>
    <x:xf numFmtId="200" fontId="3" fillId="13" borderId="0" xfId="0" applyNumberFormat="1" applyFont="1" applyFill="1" applyBorder="1" applyAlignment="1">
      <x:alignment wrapText="1"/>
    </x:xf>
    <x:xf numFmtId="0" fontId="4" fillId="13" borderId="0" xfId="0" applyNumberFormat="1" applyFont="1" applyFill="1" applyBorder="1" applyAlignment="1">
      <x:alignment wrapText="1"/>
    </x:xf>
    <x:xf numFmtId="0" fontId="0" fillId="13" borderId="0" xfId="0" applyNumberFormat="1" applyFont="1" applyFill="1" applyBorder="1" applyAlignment="1">
      <x:alignment wrapText="1"/>
    </x:xf>
    <x:xf numFmtId="0" fontId="5" fillId="14" borderId="0" xfId="0" applyNumberFormat="1" applyFont="1" applyFill="1" applyBorder="1" applyAlignment="1">
      <x:alignment horizontal="left" vertical="center"/>
    </x:xf>
    <x:xf numFmtId="0" fontId="6" fillId="15" borderId="0" xfId="0" applyNumberFormat="1" applyFont="1" applyFill="1" applyBorder="1" applyAlignment="1">
      <x:alignment vertical="center" wrapText="1"/>
    </x:xf>
    <x:xf numFmtId="0" fontId="2" fillId="14" borderId="1" xfId="0" applyNumberFormat="1" applyFont="1" applyFill="1" applyBorder="1" applyAlignment="1">
      <x:alignment horizontal="center" vertical="center" wrapText="1"/>
    </x:xf>
    <x:xf numFmtId="0" fontId="2" fillId="14" borderId="2" xfId="0" applyNumberFormat="1" applyFont="1" applyFill="1" applyBorder="1" applyAlignment="1">
      <x:alignment horizontal="center" vertical="center" wrapText="1"/>
    </x:xf>
    <x:xf numFmtId="0" fontId="2" fillId="14" borderId="3" xfId="0" applyNumberFormat="1" applyFont="1" applyFill="1" applyBorder="1" applyAlignment="1">
      <x:alignment horizontal="center" vertical="center" wrapText="1"/>
    </x:xf>
    <x:xf numFmtId="0" fontId="1" fillId="14" borderId="1" xfId="0" applyNumberFormat="1" applyFont="1" applyFill="1" applyBorder="1" applyAlignment="1">
      <x:alignment horizontal="center" vertical="center" wrapText="1"/>
    </x:xf>
    <x:xf numFmtId="0" fontId="1" fillId="14" borderId="2" xfId="0" applyNumberFormat="1" applyFont="1" applyFill="1" applyBorder="1" applyAlignment="1">
      <x:alignment horizontal="center" vertical="center" wrapText="1"/>
    </x:xf>
    <x:xf numFmtId="0" fontId="1" fillId="14" borderId="3" xfId="0" applyNumberFormat="1" applyFont="1" applyFill="1" applyBorder="1" applyAlignment="1">
      <x:alignment horizontal="center" vertical="center" wrapText="1"/>
    </x:xf>
    <x:xf numFmtId="0" fontId="2" fillId="14" borderId="0" xfId="0" applyNumberFormat="1" applyFont="1" applyFill="1" applyBorder="1" applyAlignment="1">
      <x:alignment horizontal="left" vertical="center"/>
    </x:xf>
    <x:xf numFmtId="200" fontId="3" fillId="3" borderId="0" xfId="0" applyNumberFormat="1" applyFont="1" applyFill="1" applyBorder="1" applyAlignment="1">
      <x:alignment wrapText="1"/>
    </x:xf>
    <x:xf numFmtId="0" fontId="3" fillId="16" borderId="0" xfId="0" applyNumberFormat="1" applyFont="1" applyFill="1" applyBorder="1" applyAlignment="1">
      <x:alignment wrapText="1"/>
    </x:xf>
    <x:xf numFmtId="200" fontId="3" fillId="16" borderId="0" xfId="0" applyNumberFormat="1" applyFont="1" applyFill="1" applyBorder="1" applyAlignment="1">
      <x:alignment wrapText="1"/>
    </x:xf>
    <x:xf numFmtId="0" fontId="3" fillId="17" borderId="0" xfId="0" applyNumberFormat="1" applyFont="1" applyFill="1" applyBorder="1" applyAlignment="1">
      <x:alignment wrapText="1"/>
    </x:xf>
    <x:xf numFmtId="200" fontId="3" fillId="17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wrapText="1"/>
    </x:xf>
    <x:xf numFmtId="0" fontId="4" fillId="17" borderId="0" xfId="0" applyNumberFormat="1" applyFont="1" applyFill="1" applyBorder="1" applyAlignment="1">
      <x:alignment wrapText="1"/>
    </x:xf>
    <x:xf numFmtId="0" fontId="0" fillId="17" borderId="0" xfId="0" applyNumberFormat="1" applyFont="1" applyFill="1" applyBorder="1" applyAlignment="1">
      <x:alignment wrapText="1"/>
    </x:xf>
    <x:xf numFmtId="0" fontId="5" fillId="18" borderId="0" xfId="0" applyNumberFormat="1" applyFont="1" applyFill="1" applyBorder="1" applyAlignment="1">
      <x:alignment horizontal="left" vertical="center"/>
    </x:xf>
    <x:xf numFmtId="0" fontId="6" fillId="19" borderId="0" xfId="0" applyNumberFormat="1" applyFont="1" applyFill="1" applyBorder="1" applyAlignment="1">
      <x:alignment vertical="center" wrapText="1"/>
    </x:xf>
    <x:xf numFmtId="0" fontId="1" fillId="18" borderId="1" xfId="0" applyNumberFormat="1" applyFont="1" applyFill="1" applyBorder="1" applyAlignment="1">
      <x:alignment horizontal="center" vertical="center" wrapText="1"/>
    </x:xf>
    <x:xf numFmtId="0" fontId="1" fillId="18" borderId="2" xfId="0" applyNumberFormat="1" applyFont="1" applyFill="1" applyBorder="1" applyAlignment="1">
      <x:alignment horizontal="center" vertical="center" wrapText="1"/>
    </x:xf>
    <x:xf numFmtId="0" fontId="1" fillId="18" borderId="3" xfId="0" applyNumberFormat="1" applyFont="1" applyFill="1" applyBorder="1" applyAlignment="1">
      <x:alignment horizontal="center" vertical="center" wrapText="1"/>
    </x:xf>
    <x:xf numFmtId="0" fontId="2" fillId="18" borderId="0" xfId="0" applyNumberFormat="1" applyFont="1" applyFill="1" applyBorder="1" applyAlignment="1">
      <x:alignment horizontal="left" vertical="center"/>
    </x:xf>
    <x:xf numFmtId="0" fontId="2" fillId="18" borderId="1" xfId="0" applyNumberFormat="1" applyFont="1" applyFill="1" applyBorder="1" applyAlignment="1">
      <x:alignment horizontal="center" vertical="center" wrapText="1"/>
    </x:xf>
    <x:xf numFmtId="0" fontId="2" fillId="18" borderId="2" xfId="0" applyNumberFormat="1" applyFont="1" applyFill="1" applyBorder="1" applyAlignment="1">
      <x:alignment horizontal="center" vertical="center" wrapText="1"/>
    </x:xf>
    <x:xf numFmtId="0" fontId="2" fillId="18" borderId="3" xfId="0" applyNumberFormat="1" applyFont="1" applyFill="1" applyBorder="1" applyAlignment="1">
      <x:alignment horizontal="center" vertical="center" wrapText="1"/>
    </x:xf>
    <x:xf numFmtId="0" fontId="3" fillId="20" borderId="0" xfId="0" applyNumberFormat="1" applyFont="1" applyFill="1" applyBorder="1" applyAlignment="1">
      <x:alignment wrapText="1"/>
    </x:xf>
    <x:xf numFmtId="200" fontId="3" fillId="20" borderId="0" xfId="0" applyNumberFormat="1" applyFont="1" applyFill="1" applyBorder="1" applyAlignment="1">
      <x:alignment wrapText="1"/>
    </x:xf>
    <x:xf numFmtId="0" fontId="3" fillId="21" borderId="0" xfId="0" applyNumberFormat="1" applyFont="1" applyFill="1" applyBorder="1" applyAlignment="1">
      <x:alignment wrapText="1"/>
    </x:xf>
    <x:xf numFmtId="200" fontId="3" fillId="21" borderId="0" xfId="0" applyNumberFormat="1" applyFont="1" applyFill="1" applyBorder="1" applyAlignment="1">
      <x:alignment wrapText="1"/>
    </x:xf>
    <x:xf numFmtId="0" fontId="4" fillId="21" borderId="0" xfId="0" applyNumberFormat="1" applyFont="1" applyFill="1" applyBorder="1" applyAlignment="1">
      <x:alignment wrapText="1"/>
    </x:xf>
    <x:xf numFmtId="0" fontId="0" fillId="21" borderId="0" xfId="0" applyNumberFormat="1" applyFont="1" applyFill="1" applyBorder="1" applyAlignment="1">
      <x:alignment wrapText="1"/>
    </x:xf>
    <x:xf numFmtId="0" fontId="5" fillId="22" borderId="0" xfId="0" applyNumberFormat="1" applyFont="1" applyFill="1" applyBorder="1" applyAlignment="1">
      <x:alignment horizontal="left" vertical="center"/>
    </x:xf>
    <x:xf numFmtId="0" fontId="6" fillId="23" borderId="0" xfId="0" applyNumberFormat="1" applyFont="1" applyFill="1" applyBorder="1" applyAlignment="1">
      <x:alignment vertical="center" wrapText="1"/>
    </x:xf>
    <x:xf numFmtId="0" fontId="1" fillId="22" borderId="1" xfId="0" applyNumberFormat="1" applyFont="1" applyFill="1" applyBorder="1" applyAlignment="1">
      <x:alignment horizontal="center" vertical="center" wrapText="1"/>
    </x:xf>
    <x:xf numFmtId="0" fontId="1" fillId="22" borderId="2" xfId="0" applyNumberFormat="1" applyFont="1" applyFill="1" applyBorder="1" applyAlignment="1">
      <x:alignment horizontal="center" vertical="center" wrapText="1"/>
    </x:xf>
    <x:xf numFmtId="0" fontId="1" fillId="22" borderId="3" xfId="0" applyNumberFormat="1" applyFont="1" applyFill="1" applyBorder="1" applyAlignment="1">
      <x:alignment horizontal="center" vertical="center" wrapText="1"/>
    </x:xf>
    <x:xf numFmtId="0" fontId="2" fillId="22" borderId="0" xfId="0" applyNumberFormat="1" applyFont="1" applyFill="1" applyBorder="1" applyAlignment="1">
      <x:alignment horizontal="left" vertical="center"/>
    </x:xf>
    <x:xf numFmtId="0" fontId="2" fillId="22" borderId="1" xfId="0" applyNumberFormat="1" applyFont="1" applyFill="1" applyBorder="1" applyAlignment="1">
      <x:alignment horizontal="center" vertical="center" wrapText="1"/>
    </x:xf>
    <x:xf numFmtId="0" fontId="2" fillId="22" borderId="2" xfId="0" applyNumberFormat="1" applyFont="1" applyFill="1" applyBorder="1" applyAlignment="1">
      <x:alignment horizontal="center" vertical="center" wrapText="1"/>
    </x:xf>
    <x:xf numFmtId="0" fontId="2" fillId="22" borderId="3" xfId="0" applyNumberFormat="1" applyFont="1" applyFill="1" applyBorder="1" applyAlignment="1">
      <x:alignment horizontal="center" vertical="center" wrapText="1"/>
    </x:xf>
    <x:xf numFmtId="0" fontId="3" fillId="24" borderId="0" xfId="0" applyNumberFormat="1" applyFont="1" applyFill="1" applyBorder="1" applyAlignment="1">
      <x:alignment wrapText="1"/>
    </x:xf>
    <x:xf numFmtId="200" fontId="3" fillId="24" borderId="0" xfId="0" applyNumberFormat="1" applyFont="1" applyFill="1" applyBorder="1" applyAlignment="1">
      <x:alignment wrapText="1"/>
    </x:xf>
    <x:xf numFmtId="0" fontId="3" fillId="25" borderId="0" xfId="0" applyNumberFormat="1" applyFont="1" applyFill="1" applyBorder="1" applyAlignment="1">
      <x:alignment wrapText="1"/>
    </x:xf>
    <x:xf numFmtId="200" fontId="3" fillId="25" borderId="0" xfId="0" applyNumberFormat="1" applyFont="1" applyFill="1" applyBorder="1" applyAlignment="1">
      <x:alignment wrapText="1"/>
    </x:xf>
    <x:xf numFmtId="0" fontId="4" fillId="25" borderId="0" xfId="0" applyNumberFormat="1" applyFont="1" applyFill="1" applyBorder="1" applyAlignment="1">
      <x:alignment wrapText="1"/>
    </x:xf>
    <x:xf numFmtId="0" fontId="0" fillId="25" borderId="0" xfId="0" applyNumberFormat="1" applyFont="1" applyFill="1" applyBorder="1" applyAlignment="1">
      <x:alignment wrapText="1"/>
    </x:xf>
    <x:xf numFmtId="0" fontId="4" fillId="24" borderId="0" xfId="0" applyNumberFormat="1" applyFont="1" applyFill="1" applyBorder="1" applyAlignment="1">
      <x:alignment wrapText="1"/>
    </x:xf>
    <x:xf numFmtId="0" fontId="0" fillId="24" borderId="0" xfId="0" applyNumberFormat="1" applyFont="1" applyFill="1" applyBorder="1" applyAlignment="1">
      <x:alignment wrapText="1"/>
    </x:xf>
    <x:xf numFmtId="0" fontId="5" fillId="26" borderId="0" xfId="0" applyNumberFormat="1" applyFont="1" applyFill="1" applyBorder="1" applyAlignment="1">
      <x:alignment horizontal="left" vertical="center"/>
    </x:xf>
    <x:xf numFmtId="0" fontId="6" fillId="27" borderId="0" xfId="0" applyNumberFormat="1" applyFont="1" applyFill="1" applyBorder="1" applyAlignment="1">
      <x:alignment vertical="center" wrapText="1"/>
    </x:xf>
    <x:xf numFmtId="0" fontId="1" fillId="26" borderId="1" xfId="0" applyNumberFormat="1" applyFont="1" applyFill="1" applyBorder="1" applyAlignment="1">
      <x:alignment horizontal="center" vertical="center" wrapText="1"/>
    </x:xf>
    <x:xf numFmtId="0" fontId="1" fillId="26" borderId="2" xfId="0" applyNumberFormat="1" applyFont="1" applyFill="1" applyBorder="1" applyAlignment="1">
      <x:alignment horizontal="center" vertical="center" wrapText="1"/>
    </x:xf>
    <x:xf numFmtId="0" fontId="1" fillId="26" borderId="3" xfId="0" applyNumberFormat="1" applyFont="1" applyFill="1" applyBorder="1" applyAlignment="1">
      <x:alignment horizontal="center" vertical="center" wrapText="1"/>
    </x:xf>
    <x:xf numFmtId="0" fontId="2" fillId="26" borderId="0" xfId="0" applyNumberFormat="1" applyFont="1" applyFill="1" applyBorder="1" applyAlignment="1">
      <x:alignment horizontal="left" vertical="center"/>
    </x:xf>
    <x:xf numFmtId="0" fontId="2" fillId="26" borderId="1" xfId="0" applyNumberFormat="1" applyFont="1" applyFill="1" applyBorder="1" applyAlignment="1">
      <x:alignment horizontal="center" vertical="center" wrapText="1"/>
    </x:xf>
    <x:xf numFmtId="0" fontId="2" fillId="26" borderId="2" xfId="0" applyNumberFormat="1" applyFont="1" applyFill="1" applyBorder="1" applyAlignment="1">
      <x:alignment horizontal="center" vertical="center" wrapText="1"/>
    </x:xf>
    <x:xf numFmtId="0" fontId="2" fillId="26" borderId="3" xfId="0" applyNumberFormat="1" applyFont="1" applyFill="1" applyBorder="1" applyAlignment="1">
      <x:alignment horizontal="center" vertical="center" wrapText="1"/>
    </x:xf>
    <x:xf numFmtId="0" fontId="3" fillId="28" borderId="0" xfId="0" applyNumberFormat="1" applyFont="1" applyFill="1" applyBorder="1" applyAlignment="1">
      <x:alignment wrapText="1"/>
    </x:xf>
    <x:xf numFmtId="200" fontId="3" fillId="28" borderId="0" xfId="0" applyNumberFormat="1" applyFont="1" applyFill="1" applyBorder="1" applyAlignment="1">
      <x:alignment wrapText="1"/>
    </x:xf>
    <x:xf numFmtId="0" fontId="3" fillId="29" borderId="0" xfId="0" applyNumberFormat="1" applyFont="1" applyFill="1" applyBorder="1" applyAlignment="1">
      <x:alignment wrapText="1"/>
    </x:xf>
    <x:xf numFmtId="200" fontId="3" fillId="29" borderId="0" xfId="0" applyNumberFormat="1" applyFont="1" applyFill="1" applyBorder="1" applyAlignment="1">
      <x:alignment wrapText="1"/>
    </x:xf>
    <x:xf numFmtId="0" fontId="4" fillId="29" borderId="0" xfId="0" applyNumberFormat="1" applyFont="1" applyFill="1" applyBorder="1" applyAlignment="1">
      <x:alignment wrapText="1"/>
    </x:xf>
    <x:xf numFmtId="0" fontId="0" fillId="29" borderId="0" xfId="0" applyNumberFormat="1" applyFont="1" applyFill="1" applyBorder="1" applyAlignment="1">
      <x:alignment wrapText="1"/>
    </x:xf>
    <x:xf numFmtId="0" fontId="4" fillId="28" borderId="0" xfId="0" applyNumberFormat="1" applyFont="1" applyFill="1" applyBorder="1" applyAlignment="1">
      <x:alignment wrapText="1"/>
    </x:xf>
    <x:xf numFmtId="0" fontId="0" fillId="28" borderId="0" xfId="0" applyNumberFormat="1" applyFont="1" applyFill="1" applyBorder="1" applyAlignment="1">
      <x:alignment wrapText="1"/>
    </x:xf>
    <x:xf numFmtId="0" fontId="2" fillId="26" borderId="1" xfId="0" applyNumberFormat="1" applyFont="1" applyFill="1" applyBorder="1" applyAlignment="1">
      <x:alignment horizontal="center" vertical="top" wrapText="1"/>
    </x:xf>
    <x:xf numFmtId="0" fontId="2" fillId="26" borderId="2" xfId="0" applyNumberFormat="1" applyFont="1" applyFill="1" applyBorder="1" applyAlignment="1">
      <x:alignment horizontal="center" vertical="top" wrapText="1"/>
    </x:xf>
    <x:xf numFmtId="0" fontId="2" fillId="26" borderId="3" xfId="0" applyNumberFormat="1" applyFont="1" applyFill="1" applyBorder="1" applyAlignment="1">
      <x:alignment horizontal="center" vertical="top" wrapText="1"/>
    </x:xf>
    <x:xf numFmtId="0" fontId="1" fillId="26" borderId="1" xfId="0" applyNumberFormat="1" applyFont="1" applyFill="1" applyBorder="1" applyAlignment="1">
      <x:alignment horizontal="center" vertical="top" wrapText="1"/>
    </x:xf>
    <x:xf numFmtId="0" fontId="1" fillId="26" borderId="2" xfId="0" applyNumberFormat="1" applyFont="1" applyFill="1" applyBorder="1" applyAlignment="1">
      <x:alignment horizontal="center" vertical="top" wrapText="1"/>
    </x:xf>
    <x:xf numFmtId="0" fontId="1" fillId="26" borderId="3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c3e947352344ad0" /><Relationship Type="http://schemas.openxmlformats.org/officeDocument/2006/relationships/theme" Target="/xl/theme/theme1.xml" Id="Rbabcf81a6003404f" /><Relationship Type="http://schemas.microsoft.com/office/2022/11/relationships/FeaturePropertyBag" Target="/xl/featurePropertyBag/featurePropertyBag.xml" Id="R12c150cd83054017" /><Relationship Type="http://schemas.openxmlformats.org/officeDocument/2006/relationships/sharedStrings" Target="/xl/sharedStrings.xml" Id="R5d61010582ba4722" /><Relationship Type="http://schemas.openxmlformats.org/officeDocument/2006/relationships/worksheet" Target="/xl/worksheets/sheet1.xml" Id="R9140e9639a6a4d97" /><Relationship Type="http://schemas.openxmlformats.org/officeDocument/2006/relationships/worksheet" Target="/xl/worksheets/sheet2.xml" Id="R3328f31344914e8e" /><Relationship Type="http://schemas.openxmlformats.org/officeDocument/2006/relationships/worksheet" Target="/xl/worksheets/sheet3.xml" Id="Rfb56b030aff24d39" /><Relationship Type="http://schemas.openxmlformats.org/officeDocument/2006/relationships/worksheet" Target="/xl/worksheets/sheet4.xml" Id="Rf27bbcdb923e4b79" /><Relationship Type="http://schemas.openxmlformats.org/officeDocument/2006/relationships/worksheet" Target="/xl/worksheets/sheet5.xml" Id="Rd59320816f9f416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ParametrosColonoscopia" displayName="ParametrosColonoscopia" ref="A1:Q15" headerRowCount="1" totalsRowCount="0" totalsRowShown="0">
  <x:tableColumns count="17">
    <x:tableColumn id="1" name="lesion_key"/>
    <x:tableColumn id="2" name="lesion_label"/>
    <x:tableColumn id="3" name="metric"/>
    <x:tableColumn id="4" name="estimate"/>
    <x:tableColumn id="5" name="beta_a"/>
    <x:tableColumn id="6" name="beta_b"/>
    <x:tableColumn id="7" name="n_effective"/>
    <x:tableColumn id="8" name="ci_lower"/>
    <x:tableColumn id="9" name="ci_upper"/>
    <x:tableColumn id="10" name="parameter_method"/>
    <x:tableColumn id="11" name="source_id"/>
    <x:tableColumn id="12" name="proxy_from"/>
    <x:tableColumn id="13" name="evidence_level"/>
    <x:tableColumn id="14" name="active"/>
    <x:tableColumn id="15" name="used_current_model"/>
    <x:tableColumn id="16" name="prior_added_in_R"/>
    <x:tableColumn id="17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videnciaColonoscopia" displayName="EvidenciaColonoscopia" ref="A1:O15" headerRowCount="1" totalsRowCount="0" totalsRowShown="0">
  <x:tableColumns count="15">
    <x:tableColumn id="1" name="source_id"/>
    <x:tableColumn id="2" name="citation"/>
    <x:tableColumn id="3" name="test_evaluated"/>
    <x:tableColumn id="4" name="original_stratum"/>
    <x:tableColumn id="5" name="sensitivity"/>
    <x:tableColumn id="6" name="specificity"/>
    <x:tableColumn id="7" name="ci_sens_lower"/>
    <x:tableColumn id="8" name="ci_sens_upper"/>
    <x:tableColumn id="9" name="ci_spec_lower"/>
    <x:tableColumn id="10" name="ci_spec_upper"/>
    <x:tableColumn id="11" name="sample_or_basis"/>
    <x:tableColumn id="12" name="doi"/>
    <x:tableColumn id="13" name="url"/>
    <x:tableColumn id="14" name="use_in_model"/>
    <x:tableColumn id="15" name="limitation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iccionarioParametros" displayName="DiccionarioParametros" ref="A1:B20" headerRowCount="1" totalsRowCount="0" totalsRowShown="0">
  <x:tableColumns count="2">
    <x:tableColumn id="1" name="Campo/concepto"/>
    <x:tableColumn id="2" name="Definicion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alculoLowRisk" displayName="CalculoLowRisk" ref="A4:G28" headerRowCount="1" totalsRowCount="0" totalsRowShown="0">
  <x:tableColumns count="7">
    <x:tableColumn id="1" name="component_key"/>
    <x:tableColumn id="2" name="componente"/>
    <x:tableColumn id="3" name="valor"/>
    <x:tableColumn id="4" name="numerador"/>
    <x:tableColumn id="5" name="denominador"/>
    <x:tableColumn id="6" name="fuente/base"/>
    <x:tableColumn id="7" name="interpretación y regla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CalculoEspecificidad" displayName="CalculoEspecificidad" ref="A4:G29" headerRowCount="1" totalsRowCount="0" totalsRowShown="0">
  <x:tableColumns count="7">
    <x:tableColumn id="1" name="component_key"/>
    <x:tableColumn id="2" name="componente"/>
    <x:tableColumn id="3" name="valor"/>
    <x:tableColumn id="4" name="ci_lower"/>
    <x:tableColumn id="5" name="ci_upper"/>
    <x:tableColumn id="6" name="fuente/base"/>
    <x:tableColumn id="7" name="interpretacion y regla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8c85e784d99425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a69c1b89b3d4f3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b02e0281071a49f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a5945643f54b4f8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3c42e353a7004d8b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31" hidden="0" customWidth="1"/>
    <x:col min="3" max="3" width="15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34" hidden="0" customWidth="1"/>
    <x:col min="11" max="11" width="34" hidden="0" customWidth="1"/>
    <x:col min="12" max="12" width="34" hidden="0" customWidth="1"/>
    <x:col min="13" max="13" width="30" hidden="0" customWidth="1"/>
    <x:col min="14" max="14" width="18" hidden="0" customWidth="1"/>
    <x:col min="15" max="15" width="18" hidden="0" customWidth="1"/>
    <x:col min="16" max="16" width="18" hidden="0" customWidth="1"/>
    <x:col min="17" max="17" width="72" hidden="0" customWidth="1"/>
  </x:cols>
  <x:sheetData>
    <x:row r="1" ht="44" customHeight="1">
      <x:c r="A1" s="194" t="str">
        <x:v>lesion_key</x:v>
      </x:c>
      <x:c r="B1" s="195" t="str">
        <x:v>lesion_label</x:v>
      </x:c>
      <x:c r="C1" s="195" t="str">
        <x:v>metric</x:v>
      </x:c>
      <x:c r="D1" s="195" t="str">
        <x:v>estimate</x:v>
      </x:c>
      <x:c r="E1" s="195" t="str">
        <x:v>beta_a</x:v>
      </x:c>
      <x:c r="F1" s="195" t="str">
        <x:v>beta_b</x:v>
      </x:c>
      <x:c r="G1" s="195" t="str">
        <x:v>n_effective</x:v>
      </x:c>
      <x:c r="H1" s="195" t="str">
        <x:v>ci_lower</x:v>
      </x:c>
      <x:c r="I1" s="195" t="str">
        <x:v>ci_upper</x:v>
      </x:c>
      <x:c r="J1" s="195" t="str">
        <x:v>parameter_method</x:v>
      </x:c>
      <x:c r="K1" s="195" t="str">
        <x:v>source_id</x:v>
      </x:c>
      <x:c r="L1" s="195" t="str">
        <x:v>proxy_from</x:v>
      </x:c>
      <x:c r="M1" s="195" t="str">
        <x:v>evidence_level</x:v>
      </x:c>
      <x:c r="N1" s="195" t="str">
        <x:v>active</x:v>
      </x:c>
      <x:c r="O1" s="195" t="str">
        <x:v>used_current_model</x:v>
      </x:c>
      <x:c r="P1" s="195" t="str">
        <x:v>prior_added_in_R</x:v>
      </x:c>
      <x:c r="Q1" s="196" t="str">
        <x:v>notes</x:v>
      </x:c>
    </x:row>
    <x:row r="2" ht="58" customHeight="1">
      <x:c r="A2" s="47" t="str">
        <x:v>small</x:v>
      </x:c>
      <x:c r="B2" s="47" t="str">
        <x:v>Adenomas pequenos (0,1-5 mm)</x:v>
      </x:c>
      <x:c r="C2" s="47" t="str">
        <x:v>sensitivity</x:v>
      </x:c>
      <x:c r="D2" s="48" t="n">
        <x:v>0.76</x:v>
      </x:c>
      <x:c r="E2" s="49" t="n">
        <x:v>444.6</x:v>
      </x:c>
      <x:c r="F2" s="49" t="n">
        <x:v>140.4</x:v>
      </x:c>
      <x:c r="G2" s="49" t="n">
        <x:v>585</x:v>
      </x:c>
      <x:c r="H2" s="50"/>
      <x:c r="I2" s="50"/>
      <x:c r="J2" s="47" t="str">
        <x:v>legacy_pseudocounts</x:v>
      </x:c>
      <x:c r="K2" s="47" t="str">
        <x:v>van_rijn_2006_legacy_approx</x:v>
      </x:c>
      <x:c r="L2" s="47"/>
      <x:c r="M2" s="47" t="str">
        <x:v>legacy_approximation</x:v>
      </x:c>
      <x:c r="N2" s="51" t="b">
        <x:v>1</x:v>
      </x:c>
      <x:c r="O2" s="51" t="b">
        <x:v>1</x:v>
      </x:c>
      <x:c r="P2" s="52" t="n">
        <x:v>0.5</x:v>
      </x:c>
      <x:c r="Q2" s="47" t="str">
        <x:v>Reproduce exactamente el codigo previo. Van Rijn publica 436/587 = 0,74276; 0,76 y N=585 son la aproximacion heredada.</x:v>
      </x:c>
    </x:row>
    <x:row r="3" ht="58" customHeight="1">
      <x:c r="A3" s="47" t="str">
        <x:v>medium</x:v>
      </x:c>
      <x:c r="B3" s="47" t="str">
        <x:v>Adenomas medianos (6-9 mm)</x:v>
      </x:c>
      <x:c r="C3" s="47" t="str">
        <x:v>sensitivity</x:v>
      </x:c>
      <x:c r="D3" s="48" t="n">
        <x:v>0.876</x:v>
      </x:c>
      <x:c r="E3" s="49" t="n">
        <x:v>1742.364</x:v>
      </x:c>
      <x:c r="F3" s="49" t="n">
        <x:v>246.636</x:v>
      </x:c>
      <x:c r="G3" s="49" t="n">
        <x:v>1989</x:v>
      </x:c>
      <x:c r="H3" s="50"/>
      <x:c r="I3" s="50"/>
      <x:c r="J3" s="47" t="str">
        <x:v>legacy_pseudocounts</x:v>
      </x:c>
      <x:c r="K3" s="47" t="str">
        <x:v>martin_lopez_2014_5_10_average</x:v>
      </x:c>
      <x:c r="L3" s="47"/>
      <x:c r="M3" s="47" t="str">
        <x:v>derived_from_published_estimates</x:v>
      </x:c>
      <x:c r="N3" s="51" t="b">
        <x:v>1</x:v>
      </x:c>
      <x:c r="O3" s="51" t="b">
        <x:v>1</x:v>
      </x:c>
      <x:c r="P3" s="52" t="n">
        <x:v>0.5</x:v>
      </x:c>
      <x:c r="Q3" s="47" t="str">
        <x:v>Media simple de 0,867 (5-7 mm) y 0,885 (8-10 mm), multiplicada por el N efectivo heredado.</x:v>
      </x:c>
    </x:row>
    <x:row r="4" ht="58" customHeight="1">
      <x:c r="A4" s="47" t="str">
        <x:v>large</x:v>
      </x:c>
      <x:c r="B4" s="47" t="str">
        <x:v>Adenomas grandes (&gt;=10 mm)</x:v>
      </x:c>
      <x:c r="C4" s="47" t="str">
        <x:v>sensitivity</x:v>
      </x:c>
      <x:c r="D4" s="48" t="n">
        <x:v>0.929</x:v>
      </x:c>
      <x:c r="E4" s="49" t="n">
        <x:v>1847.781</x:v>
      </x:c>
      <x:c r="F4" s="49" t="n">
        <x:v>141.219</x:v>
      </x:c>
      <x:c r="G4" s="49" t="n">
        <x:v>1989</x:v>
      </x:c>
      <x:c r="H4" s="50" t="n">
        <x:v>0.86</x:v>
      </x:c>
      <x:c r="I4" s="50" t="n">
        <x:v>0.971</x:v>
      </x:c>
      <x:c r="J4" s="47" t="str">
        <x:v>legacy_pseudocounts</x:v>
      </x:c>
      <x:c r="K4" s="47" t="str">
        <x:v>martin_lopez_2014_gt10</x:v>
      </x:c>
      <x:c r="L4" s="47"/>
      <x:c r="M4" s="47" t="str">
        <x:v>published_estimate_with_legacy_n</x:v>
      </x:c>
      <x:c r="N4" s="51" t="b">
        <x:v>1</x:v>
      </x:c>
      <x:c r="O4" s="51" t="b">
        <x:v>1</x:v>
      </x:c>
      <x:c r="P4" s="52" t="n">
        <x:v>0.5</x:v>
      </x:c>
      <x:c r="Q4" s="47" t="str">
        <x:v>Estimacion publicada para &gt;10 mm; a/b usan la concentracion N=1989 del codigo previo.</x:v>
      </x:c>
    </x:row>
    <x:row r="5" ht="76" customHeight="1">
      <x:c r="A5" s="47" t="str">
        <x:v>low_risk</x:v>
      </x:c>
      <x:c r="B5" s="47" t="str">
        <x:v>Adenomas de bajo riesgo</x:v>
      </x:c>
      <x:c r="C5" s="47" t="str">
        <x:v>sensitivity</x:v>
      </x:c>
      <x:c r="D5" s="48" t="n">
        <x:f>'Calculo_low_risk'!C20</x:f>
        <x:v>0.7984279835390946</x:v>
      </x:c>
      <x:c r="E5" s="48" t="n">
        <x:f>'Calculo_low_risk'!C23</x:f>
        <x:v>582.8855071742682</x:v>
      </x:c>
      <x:c r="F5" s="48" t="n">
        <x:f>'Calculo_low_risk'!C24</x:f>
        <x:v>147.1559232257317</x:v>
      </x:c>
      <x:c r="G5" s="48" t="n">
        <x:f>'Calculo_low_risk'!C22</x:f>
        <x:v>730.0414304</x:v>
      </x:c>
      <x:c r="H5" s="50" t="n">
        <x:v>0.7686</x:v>
      </x:c>
      <x:c r="I5" s="50" t="n">
        <x:v>0.8267</x:v>
      </x:c>
      <x:c r="J5" s="47" t="str">
        <x:v>derived_weighted_max_proxy_moment_matched_beta</x:v>
      </x:c>
      <x:c r="K5" s="47" t="str">
        <x:v>low_risk_weighted_max_proxy</x:v>
      </x:c>
      <x:c r="L5" s="47" t="str">
        <x:v>small vigente 0,76 + Martin-Lopez/AETSA medium + Zhao 2019 tubular + PRENEC regional size mix</x:v>
      </x:c>
      <x:c r="M5" s="47" t="str">
        <x:v>patient_weighted_proxy_mixed_units</x:v>
      </x:c>
      <x:c r="N5" s="51" t="b">
        <x:v>1</x:v>
      </x:c>
      <x:c r="O5" s="51" t="b">
        <x:v>1</x:v>
      </x:c>
      <x:c r="P5" s="52" t="n">
        <x:v>0.5</x:v>
      </x:c>
      <x:c r="Q5" s="47" t="str">
        <x:v>Principal regional: (325/486)*max(0,760;0,690)+(161/486)*max(0,876;0,690)=0,798428. Zhao 2019 no cambia el punto porque 0,690 es menor. Beta equivalente recentrada usando la varianza de la mezcla pmax; a/b no son TP/FN observados.</x:v>
      </x:c>
    </x:row>
    <x:row r="6" ht="76" customHeight="1">
      <x:c r="A6" s="47" t="str">
        <x:v>high_risk</x:v>
      </x:c>
      <x:c r="B6" s="47" t="str">
        <x:v>Adenomas de alto riesgo</x:v>
      </x:c>
      <x:c r="C6" s="47" t="str">
        <x:v>sensitivity</x:v>
      </x:c>
      <x:c r="D6" s="48" t="n">
        <x:f>E6/G6</x:f>
        <x:v>0.8205128205128205</x:v>
      </x:c>
      <x:c r="E6" s="48" t="n">
        <x:v>32</x:v>
      </x:c>
      <x:c r="F6" s="48" t="n">
        <x:v>7</x:v>
      </x:c>
      <x:c r="G6" s="48" t="n">
        <x:v>39</x:v>
      </x:c>
      <x:c r="H6" s="50" t="n">
        <x:v>0.6733</x:v>
      </x:c>
      <x:c r="I6" s="50" t="n">
        <x:v>0.9102</x:v>
      </x:c>
      <x:c r="J6" s="47" t="str">
        <x:v>direct_patient_counts_pooled_trial_arms</x:v>
      </x:c>
      <x:c r="K6" s="47" t="str">
        <x:v>zhao_2023_advanced_adenoma_patient_combined</x:v>
      </x:c>
      <x:c r="L6" s="47"/>
      <x:c r="M6" s="47" t="str">
        <x:v>direct_patient_level_exploratory_pool</x:v>
      </x:c>
      <x:c r="N6" s="51" t="b">
        <x:v>1</x:v>
      </x:c>
      <x:c r="O6" s="51" t="b">
        <x:v>1</x:v>
      </x:c>
      <x:c r="P6" s="52" t="n">
        <x:v>0.5</x:v>
      </x:c>
      <x:c r="Q6" s="47" t="str">
        <x:v>Zhao 2023, por paciente: 17/18 detectados en el brazo de retirada 9 min y 15/21 en 6 min; combinación exploratoria 32/39=0,820513. Adenoma avanzado definido por tamaño, histología vellosa o displasia de alto grado, sin criterio de número.</x:v>
      </x:c>
    </x:row>
    <x:row r="7" ht="76" customHeight="1">
      <x:c r="A7" s="47" t="str">
        <x:v>cancer</x:v>
      </x:c>
      <x:c r="B7" s="47" t="str">
        <x:v>Cancer colorrectal</x:v>
      </x:c>
      <x:c r="C7" s="47" t="str">
        <x:v>sensitivity</x:v>
      </x:c>
      <x:c r="D7" s="48" t="n">
        <x:f>E7/G7</x:f>
        <x:v>0.9122807017543859</x:v>
      </x:c>
      <x:c r="E7" s="48" t="n">
        <x:v>52</x:v>
      </x:c>
      <x:c r="F7" s="48" t="n">
        <x:v>5</x:v>
      </x:c>
      <x:c r="G7" s="48" t="n">
        <x:v>57</x:v>
      </x:c>
      <x:c r="H7" s="50" t="n">
        <x:v>0.807</x:v>
      </x:c>
      <x:c r="I7" s="50" t="n">
        <x:v>0.971</x:v>
      </x:c>
      <x:c r="J7" s="47" t="str">
        <x:v>direct_patient_counts_indirect_evidence</x:v>
      </x:c>
      <x:c r="K7" s="47" t="str">
        <x:v>martin_lopez_aetsa_2013_cancer</x:v>
      </x:c>
      <x:c r="L7" s="47"/>
      <x:c r="M7" s="47" t="str">
        <x:v>patient_level_indirect_small_sample</x:v>
      </x:c>
      <x:c r="N7" s="51" t="b">
        <x:v>1</x:v>
      </x:c>
      <x:c r="O7" s="51" t="b">
        <x:v>1</x:v>
      </x:c>
      <x:c r="P7" s="52" t="n">
        <x:v>0.5</x:v>
      </x:c>
      <x:c r="Q7" s="47" t="str">
        <x:v>Martín-López/AETSA 2013: 52 cánceres detectados entre 57 pacientes con cáncer (0,912281), análisis por paciente. Evidencia indirecta procedente de estudios de colonografía con colonoscopia como comparador y muestra pequeña.</x:v>
      </x:c>
    </x:row>
    <x:row r="8" ht="58" customHeight="1">
      <x:c r="A8" s="53" t="str">
        <x:v>small</x:v>
      </x:c>
      <x:c r="B8" s="53" t="str">
        <x:v>Adenomas pequenos (0,1-5 mm)</x:v>
      </x:c>
      <x:c r="C8" s="53" t="str">
        <x:v>specificity</x:v>
      </x:c>
      <x:c r="D8" s="48" t="n">
        <x:v>0.98</x:v>
      </x:c>
      <x:c r="E8" s="49" t="n">
        <x:v>573.3</x:v>
      </x:c>
      <x:c r="F8" s="49" t="n">
        <x:v>11.7</x:v>
      </x:c>
      <x:c r="G8" s="49" t="n">
        <x:v>585</x:v>
      </x:c>
      <x:c r="H8" s="54" t="n">
        <x:v>0.971</x:v>
      </x:c>
      <x:c r="I8" s="54" t="n">
        <x:v>0.986</x:v>
      </x:c>
      <x:c r="J8" s="53" t="str">
        <x:v>proxy_published_estimate_x_legacy_n</x:v>
      </x:c>
      <x:c r="K8" s="53" t="str">
        <x:v>martin_lopez_2014_5_7</x:v>
      </x:c>
      <x:c r="L8" s="53" t="str">
        <x:v>specificity 5-7 mm</x:v>
      </x:c>
      <x:c r="M8" s="53" t="str">
        <x:v>size_proxy_not_applied</x:v>
      </x:c>
      <x:c r="N8" s="55" t="b">
        <x:v>1</x:v>
      </x:c>
      <x:c r="O8" s="55" t="b">
        <x:v>0</x:v>
      </x:c>
      <x:c r="P8" s="56" t="n">
        <x:v>0.5</x:v>
      </x:c>
      <x:c r="Q8" s="53" t="str">
        <x:v>No hay especificidad 0,1-5 mm en Van Rijn. Se usa 5-7 mm como proxy de tamano mas cercano; no se aplica aun al estimador.</x:v>
      </x:c>
    </x:row>
    <x:row r="9" ht="58" customHeight="1">
      <x:c r="A9" s="53" t="str">
        <x:v>medium</x:v>
      </x:c>
      <x:c r="B9" s="53" t="str">
        <x:v>Adenomas medianos (6-9 mm)</x:v>
      </x:c>
      <x:c r="C9" s="53" t="str">
        <x:v>specificity</x:v>
      </x:c>
      <x:c r="D9" s="48" t="n">
        <x:v>0.986</x:v>
      </x:c>
      <x:c r="E9" s="49" t="n">
        <x:v>1961.154</x:v>
      </x:c>
      <x:c r="F9" s="49" t="n">
        <x:v>27.846</x:v>
      </x:c>
      <x:c r="G9" s="49" t="n">
        <x:v>1989</x:v>
      </x:c>
      <x:c r="H9" s="54"/>
      <x:c r="I9" s="54"/>
      <x:c r="J9" s="53" t="str">
        <x:v>proxy_published_estimate_x_legacy_n</x:v>
      </x:c>
      <x:c r="K9" s="53" t="str">
        <x:v>martin_lopez_2014_5_10_average</x:v>
      </x:c>
      <x:c r="L9" s="53" t="str">
        <x:v>mean specificity 5-7 and 8-10 mm</x:v>
      </x:c>
      <x:c r="M9" s="53" t="str">
        <x:v>size_proxy_not_applied</x:v>
      </x:c>
      <x:c r="N9" s="55" t="b">
        <x:v>1</x:v>
      </x:c>
      <x:c r="O9" s="55" t="b">
        <x:v>0</x:v>
      </x:c>
      <x:c r="P9" s="56" t="n">
        <x:v>0.5</x:v>
      </x:c>
      <x:c r="Q9" s="53" t="str">
        <x:v>Media simple de 0,980 y 0,992; no existe un IC unico para la media. No se aplica aun al estimador.</x:v>
      </x:c>
    </x:row>
    <x:row r="10" ht="58" customHeight="1">
      <x:c r="A10" s="53" t="str">
        <x:v>large</x:v>
      </x:c>
      <x:c r="B10" s="53" t="str">
        <x:v>Adenomas grandes (&gt;=10 mm)</x:v>
      </x:c>
      <x:c r="C10" s="53" t="str">
        <x:v>specificity</x:v>
      </x:c>
      <x:c r="D10" s="48" t="n">
        <x:v>0.913</x:v>
      </x:c>
      <x:c r="E10" s="49" t="n">
        <x:v>1815.957</x:v>
      </x:c>
      <x:c r="F10" s="49" t="n">
        <x:v>173.043</x:v>
      </x:c>
      <x:c r="G10" s="49" t="n">
        <x:v>1989</x:v>
      </x:c>
      <x:c r="H10" s="54" t="n">
        <x:v>0.899</x:v>
      </x:c>
      <x:c r="I10" s="54" t="n">
        <x:v>0.925</x:v>
      </x:c>
      <x:c r="J10" s="53" t="str">
        <x:v>published_estimate_x_legacy_n</x:v>
      </x:c>
      <x:c r="K10" s="53" t="str">
        <x:v>martin_lopez_2014_gt10</x:v>
      </x:c>
      <x:c r="L10" s="53"/>
      <x:c r="M10" s="53" t="str">
        <x:v>published_estimate_not_applied</x:v>
      </x:c>
      <x:c r="N10" s="55" t="b">
        <x:v>1</x:v>
      </x:c>
      <x:c r="O10" s="55" t="b">
        <x:v>0</x:v>
      </x:c>
      <x:c r="P10" s="56" t="n">
        <x:v>0.5</x:v>
      </x:c>
      <x:c r="Q10" s="53" t="str">
        <x:v>Estimacion publicada para &gt;10 mm. a/b son pseudoconteos usando N=1989 del modelo, no TN/FP publicados.</x:v>
      </x:c>
    </x:row>
    <x:row r="11" ht="58" customHeight="1">
      <x:c r="A11" s="53" t="str">
        <x:v>low_risk</x:v>
      </x:c>
      <x:c r="B11" s="53" t="str">
        <x:v>Adenomas de bajo riesgo</x:v>
      </x:c>
      <x:c r="C11" s="53" t="str">
        <x:v>specificity</x:v>
      </x:c>
      <x:c r="D11" s="48" t="n">
        <x:f>'Calculo_especificidad'!C20</x:f>
        <x:v>0.9819876543209877</x:v>
      </x:c>
      <x:c r="E11" s="49" t="n">
        <x:f>'Calculo_especificidad'!C26</x:f>
        <x:v>1679.1539416061219</x:v>
      </x:c>
      <x:c r="F11" s="49" t="n">
        <x:f>'Calculo_especificidad'!C27</x:f>
        <x:v>30.800286654723095</x:v>
      </x:c>
      <x:c r="G11" s="49" t="n">
        <x:f>'Calculo_especificidad'!C25</x:f>
        <x:v>1709.954228260845</x:v>
      </x:c>
      <x:c r="H11" s="54" t="n">
        <x:v>0.975170683</x:v>
      </x:c>
      <x:c r="I11" s="54" t="n">
        <x:v>0.987739077</x:v>
      </x:c>
      <x:c r="J11" s="53" t="str">
        <x:v>derived_patient_weighted_size_proxy_moment_matched_beta</x:v>
      </x:c>
      <x:c r="K11" s="53" t="str">
        <x:v>low_risk_weighted_max_proxy</x:v>
      </x:c>
      <x:c r="L11" s="53" t="str">
        <x:v>Martin-Lopez/AETSA specificity 5-7 and 8-10 mm + PRENEC regional size mix</x:v>
      </x:c>
      <x:c r="M11" s="53" t="str">
        <x:v>patient_weighted_size_proxy_no_histology</x:v>
      </x:c>
      <x:c r="N11" s="55" t="b">
        <x:v>1</x:v>
      </x:c>
      <x:c r="O11" s="55" t="b">
        <x:v>0</x:v>
      </x:c>
      <x:c r="P11" s="56" t="n">
        <x:v>0.5</x:v>
      </x:c>
      <x:c r="Q11" s="53" t="str">
        <x:v>Proxy por paciente: (325/486)*0,980+(161/486)*media(0,980;0,992)=0,981988. Zhao 2019 no informa especificidad tubular; por eso no se agrega ni se transforma su tasa de omision. Beta equivalente por momentos; a/b no son TN/FP observados. No se aplica aun al estimador.</x:v>
      </x:c>
    </x:row>
    <x:row r="12" ht="58" customHeight="1">
      <x:c r="A12" s="53" t="str">
        <x:v>high_risk</x:v>
      </x:c>
      <x:c r="B12" s="53" t="str">
        <x:v>Adenomas de alto riesgo</x:v>
      </x:c>
      <x:c r="C12" s="53" t="str">
        <x:v>specificity</x:v>
      </x:c>
      <x:c r="D12" s="48" t="n">
        <x:f>E12/G12</x:f>
        <x:v>0.9127811300054854</x:v>
      </x:c>
      <x:c r="E12" s="49" t="n">
        <x:v>1664</x:v>
      </x:c>
      <x:c r="F12" s="49" t="n">
        <x:v>159</x:v>
      </x:c>
      <x:c r="G12" s="49" t="n">
        <x:v>1823</x:v>
      </x:c>
      <x:c r="H12" s="54" t="n">
        <x:v>0.899</x:v>
      </x:c>
      <x:c r="I12" s="54" t="n">
        <x:v>0.925</x:v>
      </x:c>
      <x:c r="J12" s="53" t="str">
        <x:v>direct_patient_counts_size_proxy_not_applied</x:v>
      </x:c>
      <x:c r="K12" s="53" t="str">
        <x:v>martin_lopez_2014_gt10</x:v>
      </x:c>
      <x:c r="L12" s="53" t="str">
        <x:v>specificity &gt;10 mm</x:v>
      </x:c>
      <x:c r="M12" s="53" t="str">
        <x:v>patient_level_size_proxy_not_applied</x:v>
      </x:c>
      <x:c r="N12" s="55" t="b">
        <x:v>1</x:v>
      </x:c>
      <x:c r="O12" s="55" t="b">
        <x:v>0</x:v>
      </x:c>
      <x:c r="P12" s="56" t="n">
        <x:v>0.5</x:v>
      </x:c>
      <x:c r="Q12" s="53" t="str">
        <x:v>Proxy por paciente para alto riesgo: 1664/(1664+159)=0,912781 en el estrato &gt;10 mm de Martin-Lopez/AETSA. Zhao 2023 no permite estimar especificidad independiente; 694/694=1 seria tautologico por el patron de referencia tandem. El proxy no cubre adenomas &lt;10 mm avanzados solo por histologia y no se aplica aun al estimador.</x:v>
      </x:c>
    </x:row>
    <x:row r="13" ht="58" customHeight="1">
      <x:c r="A13" s="53" t="str">
        <x:v>cancer</x:v>
      </x:c>
      <x:c r="B13" s="53" t="str">
        <x:v>Cancer colorrectal</x:v>
      </x:c>
      <x:c r="C13" s="53" t="str">
        <x:v>specificity</x:v>
      </x:c>
      <x:c r="D13" s="48" t="n">
        <x:v>1</x:v>
      </x:c>
      <x:c r="E13" s="49" t="n">
        <x:v>1989</x:v>
      </x:c>
      <x:c r="F13" s="49" t="n">
        <x:v>0</x:v>
      </x:c>
      <x:c r="G13" s="49" t="n">
        <x:v>1989</x:v>
      </x:c>
      <x:c r="H13" s="54" t="n">
        <x:v>0.999</x:v>
      </x:c>
      <x:c r="I13" s="54" t="n">
        <x:v>1</x:v>
      </x:c>
      <x:c r="J13" s="53" t="str">
        <x:v>proxy_published_estimate_x_legacy_n</x:v>
      </x:c>
      <x:c r="K13" s="53" t="str">
        <x:v>martin_lopez_aetsa_2013_cancer</x:v>
      </x:c>
      <x:c r="L13" s="53" t="str">
        <x:v>cancer specificity</x:v>
      </x:c>
      <x:c r="M13" s="53" t="str">
        <x:v>outcome_proxy_not_applied</x:v>
      </x:c>
      <x:c r="N13" s="55" t="b">
        <x:v>1</x:v>
      </x:c>
      <x:c r="O13" s="55" t="b">
        <x:v>0</x:v>
      </x:c>
      <x:c r="P13" s="56" t="n">
        <x:v>0.5</x:v>
      </x:c>
      <x:c r="Q13" s="53" t="str">
        <x:v>Especificidad agrupada para cáncer; a/b conservan el N heredado del modelo y no son TN/FP publicados. No se aplica aún al estimador.</x:v>
      </x:c>
    </x:row>
    <x:row r="14" ht="76" customHeight="1">
      <x:c r="A14" s="19" t="str">
        <x:v>adenoma_total</x:v>
      </x:c>
      <x:c r="B14" s="19" t="str">
        <x:v>Adenoma total</x:v>
      </x:c>
      <x:c r="C14" s="19" t="str">
        <x:v>sensitivity</x:v>
      </x:c>
      <x:c r="D14" s="20" t="n">
        <x:v>0.9253246753246753</x:v>
      </x:c>
      <x:c r="E14" s="20" t="n">
        <x:v>285</x:v>
      </x:c>
      <x:c r="F14" s="20" t="n">
        <x:v>23</x:v>
      </x:c>
      <x:c r="G14" s="20" t="n">
        <x:v>308</x:v>
      </x:c>
      <x:c r="H14" s="20" t="n">
        <x:v>0.89</x:v>
      </x:c>
      <x:c r="I14" s="20" t="n">
        <x:v>0.952</x:v>
      </x:c>
      <x:c r="J14" s="19" t="str">
        <x:v>direct_patient_counts_indirect_proxy</x:v>
      </x:c>
      <x:c r="K14" s="19" t="str">
        <x:v>martin_lopez_2014_global</x:v>
      </x:c>
      <x:c r="L14" s="19" t="str">
        <x:v>global colorectal lesions/polyps as proxy for any adenoma</x:v>
      </x:c>
      <x:c r="M14" s="19" t="str">
        <x:v>patient_level_indirect_proxy</x:v>
      </x:c>
      <x:c r="N14" s="22" t="b">
        <x:v>1</x:v>
      </x:c>
      <x:c r="O14" s="22" t="b">
        <x:v>1</x:v>
      </x:c>
      <x:c r="P14" s="19" t="n">
        <x:v>0.5</x:v>
      </x:c>
      <x:c r="Q14" s="19" t="str">
        <x:v>Martin-Lopez/AETSA: 285 lesions detected among 308 patients with colorectal lesions (0.925325). This global per-patient estimate is used as an indirect proxy for any adenoma; Beta parameters use the reconstructed patient counts rather than the former inherited N=1989.</x:v>
      </x:c>
    </x:row>
    <x:row r="15" ht="76" customHeight="1">
      <x:c r="A15" s="19" t="str">
        <x:v>adenoma_total</x:v>
      </x:c>
      <x:c r="B15" s="19" t="str">
        <x:v>Adenoma total</x:v>
      </x:c>
      <x:c r="C15" s="19" t="str">
        <x:v>specificity</x:v>
      </x:c>
      <x:c r="D15" s="20" t="n">
        <x:v>0.732</x:v>
      </x:c>
      <x:c r="E15" s="20" t="n">
        <x:v>1455.948</x:v>
      </x:c>
      <x:c r="F15" s="20" t="n">
        <x:v>533.052</x:v>
      </x:c>
      <x:c r="G15" s="20" t="n">
        <x:v>1989</x:v>
      </x:c>
      <x:c r="H15" s="20" t="n">
        <x:v>0.677</x:v>
      </x:c>
      <x:c r="I15" s="20" t="n">
        <x:v>0.781</x:v>
      </x:c>
      <x:c r="J15" s="19" t="str">
        <x:v>published_estimate_x_legacy_n</x:v>
      </x:c>
      <x:c r="K15" s="19" t="str">
        <x:v>martin_lopez_2014_global</x:v>
      </x:c>
      <x:c r="L15" s="19" t="str">
        <x:v>global adenoma specificity</x:v>
      </x:c>
      <x:c r="M15" s="19" t="str">
        <x:v>patient_level_global_not_applied</x:v>
      </x:c>
      <x:c r="N15" s="22" t="b">
        <x:v>1</x:v>
      </x:c>
      <x:c r="O15" s="22" t="b">
        <x:v>0</x:v>
      </x:c>
      <x:c r="P15" s="19" t="n">
        <x:v>0.5</x:v>
      </x:c>
      <x:c r="Q15" s="19" t="str">
        <x:v>Especificidad global publicada para adenomas. Se carga para trazabilidad, pero la ecuacion actual no corrige falsos positivos de colonoscopia.</x:v>
      </x:c>
    </x:row>
  </x:sheetData>
  <x:pageMargins left="0.7" right="0.7" top="0.75" bottom="0.75" header="0.3" footer="0.3"/>
  <x:tableParts count="1">
    <x:tablePart xmlns:r="http://schemas.openxmlformats.org/officeDocument/2006/relationships" r:id="R58c85e784d994252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8" hidden="0" customWidth="1"/>
    <x:col min="2" max="2" width="48" hidden="0" customWidth="1"/>
    <x:col min="3" max="3" width="30" hidden="0" customWidth="1"/>
    <x:col min="4" max="4" width="30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45" hidden="0" customWidth="1"/>
    <x:col min="12" max="12" width="31" hidden="0" customWidth="1"/>
    <x:col min="13" max="13" width="48" hidden="0" customWidth="1"/>
    <x:col min="14" max="14" width="38" hidden="0" customWidth="1"/>
    <x:col min="15" max="15" width="72" hidden="0" customWidth="1"/>
  </x:cols>
  <x:sheetData>
    <x:row r="1" ht="46" customHeight="1">
      <x:c r="A1" s="194" t="str">
        <x:v>source_id</x:v>
      </x:c>
      <x:c r="B1" s="195" t="str">
        <x:v>citation</x:v>
      </x:c>
      <x:c r="C1" s="195" t="str">
        <x:v>test_evaluated</x:v>
      </x:c>
      <x:c r="D1" s="195" t="str">
        <x:v>original_stratum</x:v>
      </x:c>
      <x:c r="E1" s="195" t="str">
        <x:v>sensitivity</x:v>
      </x:c>
      <x:c r="F1" s="195" t="str">
        <x:v>specificity</x:v>
      </x:c>
      <x:c r="G1" s="195" t="str">
        <x:v>ci_sens_lower</x:v>
      </x:c>
      <x:c r="H1" s="195" t="str">
        <x:v>ci_sens_upper</x:v>
      </x:c>
      <x:c r="I1" s="195" t="str">
        <x:v>ci_spec_lower</x:v>
      </x:c>
      <x:c r="J1" s="195" t="str">
        <x:v>ci_spec_upper</x:v>
      </x:c>
      <x:c r="K1" s="195" t="str">
        <x:v>sample_or_basis</x:v>
      </x:c>
      <x:c r="L1" s="195" t="str">
        <x:v>doi</x:v>
      </x:c>
      <x:c r="M1" s="195" t="str">
        <x:v>url</x:v>
      </x:c>
      <x:c r="N1" s="195" t="str">
        <x:v>use_in_model</x:v>
      </x:c>
      <x:c r="O1" s="196" t="str">
        <x:v>limitations</x:v>
      </x:c>
    </x:row>
    <x:row r="2" ht="74" customHeight="1">
      <x:c r="A2" s="47" t="str">
        <x:v>martin_lopez_2014_global</x:v>
      </x:c>
      <x:c r="B2" s="47" t="str">
        <x:v>Martin-Lopez et al. Colorectal Disease 2014;16:O82-O89.</x:v>
      </x:c>
      <x:c r="C2" s="47" t="str">
        <x:v>Optical colonoscopy</x:v>
      </x:c>
      <x:c r="D2" s="47" t="str">
        <x:v>Global</x:v>
      </x:c>
      <x:c r="E2" s="109" t="n">
        <x:v>0.9253246753246753</x:v>
      </x:c>
      <x:c r="F2" s="109" t="n">
        <x:v>0.732</x:v>
      </x:c>
      <x:c r="G2" s="109" t="n">
        <x:v>0.89</x:v>
      </x:c>
      <x:c r="H2" s="109" t="n">
        <x:v>0.952</x:v>
      </x:c>
      <x:c r="I2" s="109" t="n">
        <x:v>0.677</x:v>
      </x:c>
      <x:c r="J2" s="109" t="n">
        <x:v>0.781</x:v>
      </x:c>
      <x:c r="K2" s="47" t="str">
        <x:v>285 detected among 308 patients with colorectal lesions, reconstructed from the three study strata</x:v>
      </x:c>
      <x:c r="L2" s="47" t="str">
        <x:v>10.1111/codi.12506</x:v>
      </x:c>
      <x:c r="M2" s="47" t="str">
        <x:v>https://pubmed.ncbi.nlm.nih.gov/24299052/</x:v>
      </x:c>
      <x:c r="N2" s="47" t="str">
        <x:v>Any-adenoma sensitivity proxy; specificity retained for traceability only</x:v>
      </x:c>
      <x:c r="O2" s="47" t="str">
        <x:v>Global per-patient estimate for colorectal lesions/polyps, not an adenoma-histology-specific estimate. Indirect evidence from CT-colonography studies using colonoscopy as comparator; beta uncertainty uses reconstructed patient counts.</x:v>
      </x:c>
    </x:row>
    <x:row r="3" ht="74" customHeight="1">
      <x:c r="A3" s="47" t="str">
        <x:v>martin_lopez_2014_5_7</x:v>
      </x:c>
      <x:c r="B3" s="47" t="str">
        <x:v>Martin-Lopez et al. Colorectal Disease 2014;16:O82-O89.</x:v>
      </x:c>
      <x:c r="C3" s="47" t="str">
        <x:v>Optical colonoscopy</x:v>
      </x:c>
      <x:c r="D3" s="47" t="str">
        <x:v>Lesions 5-7 mm</x:v>
      </x:c>
      <x:c r="E3" s="109" t="n">
        <x:v>0.867</x:v>
      </x:c>
      <x:c r="F3" s="109" t="n">
        <x:v>0.98</x:v>
      </x:c>
      <x:c r="G3" s="109" t="n">
        <x:v>0.813</x:v>
      </x:c>
      <x:c r="H3" s="109" t="n">
        <x:v>0.91</x:v>
      </x:c>
      <x:c r="I3" s="109" t="n">
        <x:v>0.971</x:v>
      </x:c>
      <x:c r="J3" s="109" t="n">
        <x:v>0.986</x:v>
      </x:c>
      <x:c r="K3" s="47" t="str">
        <x:v>Pooled estimate reported in the meta-analysis table</x:v>
      </x:c>
      <x:c r="L3" s="47" t="str">
        <x:v>10.1111/codi.12506</x:v>
      </x:c>
      <x:c r="M3" s="47" t="str">
        <x:v>https://pubmed.ncbi.nlm.nih.gov/24299052/</x:v>
      </x:c>
      <x:c r="N3" s="47" t="str">
        <x:v>Small specificity proxy and medium component</x:v>
      </x:c>
      <x:c r="O3" s="47" t="str">
        <x:v>The source stratum does not match 0.1-5 mm exactly.</x:v>
      </x:c>
    </x:row>
    <x:row r="4" ht="74" customHeight="1">
      <x:c r="A4" s="47" t="str">
        <x:v>martin_lopez_2014_8_10</x:v>
      </x:c>
      <x:c r="B4" s="47" t="str">
        <x:v>Martin-Lopez et al. Colorectal Disease 2014;16:O82-O89.</x:v>
      </x:c>
      <x:c r="C4" s="47" t="str">
        <x:v>Optical colonoscopy</x:v>
      </x:c>
      <x:c r="D4" s="47" t="str">
        <x:v>Lesions 8-10 mm</x:v>
      </x:c>
      <x:c r="E4" s="109" t="n">
        <x:v>0.885</x:v>
      </x:c>
      <x:c r="F4" s="109" t="n">
        <x:v>0.992</x:v>
      </x:c>
      <x:c r="G4" s="109" t="n">
        <x:v>0.815</x:v>
      </x:c>
      <x:c r="H4" s="109" t="n">
        <x:v>0.936</x:v>
      </x:c>
      <x:c r="I4" s="109" t="n">
        <x:v>0.986</x:v>
      </x:c>
      <x:c r="J4" s="109" t="n">
        <x:v>0.995</x:v>
      </x:c>
      <x:c r="K4" s="47" t="str">
        <x:v>Pooled estimate reported in the meta-analysis table</x:v>
      </x:c>
      <x:c r="L4" s="47" t="str">
        <x:v>10.1111/codi.12506</x:v>
      </x:c>
      <x:c r="M4" s="47" t="str">
        <x:v>https://pubmed.ncbi.nlm.nih.gov/24299052/</x:v>
      </x:c>
      <x:c r="N4" s="47" t="str">
        <x:v>Medium component</x:v>
      </x:c>
      <x:c r="O4" s="47" t="str">
        <x:v>The source stratum overlaps but does not exactly match the model's 6-9 mm category.</x:v>
      </x:c>
    </x:row>
    <x:row r="5" ht="74" customHeight="1">
      <x:c r="A5" s="47" t="str">
        <x:v>martin_lopez_2014_5_10_average</x:v>
      </x:c>
      <x:c r="B5" s="47" t="str">
        <x:v>Derived from Martin-Lopez 5-7 mm and 8-10 mm strata.</x:v>
      </x:c>
      <x:c r="C5" s="47" t="str">
        <x:v>Optical colonoscopy</x:v>
      </x:c>
      <x:c r="D5" s="47" t="str">
        <x:v>Simple mean of 5-7 and 8-10 mm</x:v>
      </x:c>
      <x:c r="E5" s="109" t="n">
        <x:v>0.876</x:v>
      </x:c>
      <x:c r="F5" s="109" t="n">
        <x:v>0.986</x:v>
      </x:c>
      <x:c r="G5" s="109"/>
      <x:c r="H5" s="109"/>
      <x:c r="I5" s="109"/>
      <x:c r="J5" s="109"/>
      <x:c r="K5" s="47" t="str">
        <x:v>Arithmetic mean; effective N inherited from the model</x:v>
      </x:c>
      <x:c r="L5" s="47" t="str">
        <x:v>10.1111/codi.12506</x:v>
      </x:c>
      <x:c r="M5" s="47" t="str">
        <x:v>https://www.ncbi.nlm.nih.gov/books/NBK623888/</x:v>
      </x:c>
      <x:c r="N5" s="47" t="str">
        <x:v>Medium parameters and low-risk specificity proxy</x:v>
      </x:c>
      <x:c r="O5" s="47" t="str">
        <x:v>Derived value; no pooled CI for this arithmetic mean.</x:v>
      </x:c>
    </x:row>
    <x:row r="6" ht="74" customHeight="1">
      <x:c r="A6" s="47" t="str">
        <x:v>martin_lopez_2014_gt10</x:v>
      </x:c>
      <x:c r="B6" s="47" t="str">
        <x:v>Martin-Lopez et al. Colorectal Disease 2014;16:O82-O89.</x:v>
      </x:c>
      <x:c r="C6" s="47" t="str">
        <x:v>Optical colonoscopy</x:v>
      </x:c>
      <x:c r="D6" s="47" t="str">
        <x:v>Lesions &gt;10 mm</x:v>
      </x:c>
      <x:c r="E6" s="109" t="n">
        <x:v>0.929</x:v>
      </x:c>
      <x:c r="F6" s="109" t="n">
        <x:v>0.913</x:v>
      </x:c>
      <x:c r="G6" s="109" t="n">
        <x:v>0.86</x:v>
      </x:c>
      <x:c r="H6" s="109" t="n">
        <x:v>0.971</x:v>
      </x:c>
      <x:c r="I6" s="109" t="n">
        <x:v>0.899</x:v>
      </x:c>
      <x:c r="J6" s="109" t="n">
        <x:v>0.925</x:v>
      </x:c>
      <x:c r="K6" s="47" t="str">
        <x:v>Pooled estimate reported in the meta-analysis table</x:v>
      </x:c>
      <x:c r="L6" s="47" t="str">
        <x:v>10.1111/codi.12506</x:v>
      </x:c>
      <x:c r="M6" s="47" t="str">
        <x:v>https://www.ncbi.nlm.nih.gov/books/NBK623888/</x:v>
      </x:c>
      <x:c r="N6" s="47" t="str">
        <x:v>Large parameters</x:v>
      </x:c>
      <x:c r="O6" s="47" t="str">
        <x:v>The model defines large as &gt;=10 mm, while the source reports &gt;10 mm.</x:v>
      </x:c>
    </x:row>
    <x:row r="7" ht="92" customHeight="1">
      <x:c r="A7" s="47" t="str">
        <x:v>martin_lopez_aetsa_2013_cancer</x:v>
      </x:c>
      <x:c r="B7" s="47" t="str">
        <x:v>Martín López JE et al. AETSA 2013. Eficacia, seguridad y eficiencia de la colonografía por TC frente a la colonoscopia como cribado de cáncer colorrectal. Informe AETSA 2011/01.</x:v>
      </x:c>
      <x:c r="C7" s="47" t="str">
        <x:v>Optical colonoscopy in CTC comparative studies</x:v>
      </x:c>
      <x:c r="D7" s="47" t="str">
        <x:v>Colorectal cancer, per patient</x:v>
      </x:c>
      <x:c r="E7" s="109" t="n">
        <x:v>0.9122807017543859</x:v>
      </x:c>
      <x:c r="F7" s="109" t="n">
        <x:v>1</x:v>
      </x:c>
      <x:c r="G7" s="109" t="n">
        <x:v>0.807</x:v>
      </x:c>
      <x:c r="H7" s="109" t="n">
        <x:v>0.971</x:v>
      </x:c>
      <x:c r="I7" s="109" t="n">
        <x:v>0.999</x:v>
      </x:c>
      <x:c r="J7" s="109" t="n">
        <x:v>1</x:v>
      </x:c>
      <x:c r="K7" s="47" t="str">
        <x:v>52 cancers detected among 57 patients with cancer; pooled per-patient estimate</x:v>
      </x:c>
      <x:c r="L7" s="47"/>
      <x:c r="M7" s="47" t="str">
        <x:v>https://www.aetsa.org/download/publicaciones/antiguas/AETSA_2011_1_ColonoscopiaTAC.pdf</x:v>
      </x:c>
      <x:c r="N7" s="47" t="str">
        <x:v>Cancer sensitivity; cancer-specificity proxy for model rows not yet applied</x:v>
      </x:c>
      <x:c r="O7" s="47" t="str">
        <x:v>Indirect evidence from CTC studies using colonoscopy as comparator/segmental unblinding; only 57 cancer patients and 41 came from one study.</x:v>
      </x:c>
    </x:row>
    <x:row r="8" ht="74" customHeight="1">
      <x:c r="A8" s="47" t="str">
        <x:v>van_rijn_2006_legacy_approx</x:v>
      </x:c>
      <x:c r="B8" s="47" t="str">
        <x:v>van Rijn et al. American Journal of Gastroenterology 2006;101:343-350.</x:v>
      </x:c>
      <x:c r="C8" s="47" t="str">
        <x:v>Tandem optical colonoscopy</x:v>
      </x:c>
      <x:c r="D8" s="47" t="str">
        <x:v>Adenomas 1-5 mm</x:v>
      </x:c>
      <x:c r="E8" s="109" t="n">
        <x:v>0.742759795570699</x:v>
      </x:c>
      <x:c r="F8" s="109"/>
      <x:c r="G8" s="109"/>
      <x:c r="H8" s="109"/>
      <x:c r="I8" s="109"/>
      <x:c r="J8" s="109"/>
      <x:c r="K8" s="47" t="str">
        <x:v>151 missed of 587; sensitivity = 436/587</x:v>
      </x:c>
      <x:c r="L8" s="47" t="str">
        <x:v>10.1111/j.1572-0241.2006.00390.x</x:v>
      </x:c>
      <x:c r="M8" s="47" t="str">
        <x:v>https://pubmed.ncbi.nlm.nih.gov/16454841/</x:v>
      </x:c>
      <x:c r="N8" s="47" t="str">
        <x:v>Audit reference for inherited small sensitivity</x:v>
      </x:c>
      <x:c r="O8" s="47" t="str">
        <x:v>The code uses 0.76 and N=585, which do not exactly reproduce the published miss rate.</x:v>
      </x:c>
    </x:row>
    <x:row r="9" ht="74" customHeight="1">
      <x:c r="A9" s="47" t="str">
        <x:v>van_rijn_2006_low_risk_derived</x:v>
      </x:c>
      <x:c r="B9" s="47" t="str">
        <x:v>Derived in the legacy code from counts attributed to van Rijn.</x:v>
      </x:c>
      <x:c r="C9" s="47" t="str">
        <x:v>Tandem optical colonoscopy</x:v>
      </x:c>
      <x:c r="D9" s="47" t="str">
        <x:v>Model-specific low-risk derivation</x:v>
      </x:c>
      <x:c r="E9" s="109" t="n">
        <x:v>0.765119549929677</x:v>
      </x:c>
      <x:c r="F9" s="109"/>
      <x:c r="G9" s="109"/>
      <x:c r="H9" s="109"/>
      <x:c r="I9" s="109"/>
      <x:c r="J9" s="109"/>
      <x:c r="K9" s="47" t="str">
        <x:v>1 - 167/711</x:v>
      </x:c>
      <x:c r="L9" s="47" t="str">
        <x:v>10.1111/j.1572-0241.2006.00390.x</x:v>
      </x:c>
      <x:c r="M9" s="47" t="str">
        <x:v>https://pubmed.ncbi.nlm.nih.gov/16454841/</x:v>
      </x:c>
      <x:c r="N9" s="47" t="str">
        <x:v>Low-risk sensitivity</x:v>
      </x:c>
      <x:c r="O9" s="47" t="str">
        <x:v>Low risk is not a source-reported stratum; specificity cannot be obtained from this tandem-colonoscopy design.</x:v>
      </x:c>
    </x:row>
    <x:row r="10" ht="74" customHeight="1">
      <x:c r="A10" s="47" t="str">
        <x:v>de_haan_2011_high_risk_legacy</x:v>
      </x:c>
      <x:c r="B10" s="47" t="str">
        <x:v>de Haan et al. European Radiology 2011;21:1747-1763.</x:v>
      </x:c>
      <x:c r="C10" s="47" t="str">
        <x:v>CT colonography versus optical colonoscopy</x:v>
      </x:c>
      <x:c r="D10" s="47" t="str">
        <x:v>Legacy weighted high-risk construction</x:v>
      </x:c>
      <x:c r="E10" s="109" t="n">
        <x:v>0.846705206463196</x:v>
      </x:c>
      <x:c r="F10" s="109"/>
      <x:c r="G10" s="109"/>
      <x:c r="H10" s="109"/>
      <x:c r="I10" s="109"/>
      <x:c r="J10" s="109"/>
      <x:c r="K10" s="47" t="str">
        <x:v>Weighted 0.926 (N=307), 0.833 (N=2249), 0.875 (N=229)</x:v>
      </x:c>
      <x:c r="L10" s="47" t="str">
        <x:v>10.1007/s00330-011-2104-8</x:v>
      </x:c>
      <x:c r="M10" s="47" t="str">
        <x:v>https://pmc.ncbi.nlm.nih.gov/articles/PMC3128257/</x:v>
      </x:c>
      <x:c r="N10" s="47" t="str">
        <x:v>High-risk sensitivity inherited from existing code</x:v>
      </x:c>
      <x:c r="O10" s="47" t="str">
        <x:v>These values describe CT colonography performance with colonoscopy as reference, not optical-colonoscopy sensitivity.</x:v>
      </x:c>
    </x:row>
    <x:row r="11" ht="74" customHeight="1">
      <x:c r="A11" s="47" t="str">
        <x:v>legacy_cancer_from_large</x:v>
      </x:c>
      <x:c r="B11" s="47" t="str">
        <x:v>Legacy model assumption.</x:v>
      </x:c>
      <x:c r="C11" s="47" t="str">
        <x:v>Model proxy</x:v>
      </x:c>
      <x:c r="D11" s="47" t="str">
        <x:v>Cancer equals large-adenoma sensitivity</x:v>
      </x:c>
      <x:c r="E11" s="109" t="n">
        <x:v>0.929</x:v>
      </x:c>
      <x:c r="F11" s="109"/>
      <x:c r="G11" s="109" t="n">
        <x:v>0.86</x:v>
      </x:c>
      <x:c r="H11" s="109" t="n">
        <x:v>0.971</x:v>
      </x:c>
      <x:c r="I11" s="109"/>
      <x:c r="J11" s="109"/>
      <x:c r="K11" s="47" t="str">
        <x:v>Uses the large-lesion beta parameters</x:v>
      </x:c>
      <x:c r="L11" s="47"/>
      <x:c r="M11" s="47"/>
      <x:c r="N11" s="47" t="str">
        <x:v>Cancer sensitivity</x:v>
      </x:c>
      <x:c r="O11" s="47" t="str">
        <x:v>No separate cancer sensitivity was parameterized in the original code.</x:v>
      </x:c>
    </x:row>
    <x:row r="12" ht="92" customHeight="1">
      <x:c r="A12" s="90" t="str">
        <x:v>zhao_2019_tubular_lesion</x:v>
      </x:c>
      <x:c r="B12" s="90" t="str">
        <x:v>Zhao S, Wang S, Pan P, et al. Gastroenterology. 2019;156:1661-1674.e11.</x:v>
      </x:c>
      <x:c r="C12" s="90" t="str">
        <x:v>Tandem optical colonoscopy</x:v>
      </x:c>
      <x:c r="D12" s="90" t="str">
        <x:v>Tubular adenomas, lesion-level</x:v>
      </x:c>
      <x:c r="E12" s="91" t="n">
        <x:v>0.69</x:v>
      </x:c>
      <x:c r="F12" s="91"/>
      <x:c r="G12" s="91" t="n">
        <x:v>0.56</x:v>
      </x:c>
      <x:c r="H12" s="91" t="n">
        <x:v>0.8</x:v>
      </x:c>
      <x:c r="I12" s="91"/>
      <x:c r="J12" s="91"/>
      <x:c r="K12" s="90" t="str">
        <x:v>Sensitivity derived as 1 - pooled tubular adenoma miss rate 0.31 (95% CI 0.20-0.44)</x:v>
      </x:c>
      <x:c r="L12" s="90" t="str">
        <x:v>10.1053/j.gastro.2019.01.260</x:v>
      </x:c>
      <x:c r="M12" s="90" t="str">
        <x:v>https://pubmed.ncbi.nlm.nih.gov/30738046/</x:v>
      </x:c>
      <x:c r="N12" s="90" t="str">
        <x:v>Histology component of low-risk proxy</x:v>
      </x:c>
      <x:c r="O12" s="90" t="str">
        <x:v>Per-lesion evidence, whereas PRENEC prevalence and Martín-López size estimates are used per patient; it is not a direct patient-level sensitivity.</x:v>
      </x:c>
    </x:row>
    <x:row r="13" ht="92" customHeight="1">
      <x:c r="A13" s="90" t="str">
        <x:v>prenec_regional_lowrisk_size_mix</x:v>
      </x:c>
      <x:c r="B13" s="90" t="str">
        <x:v>PRENEC regional cohort used by the current 37,206-person version; internal dataset.</x:v>
      </x:c>
      <x:c r="C13" s="90" t="str">
        <x:v>Observed patient composition</x:v>
      </x:c>
      <x:c r="D13" s="90" t="str">
        <x:v>highrisk==1 and risk=='low_risk', by largest-polyp size category</x:v>
      </x:c>
      <x:c r="E13" s="91"/>
      <x:c r="F13" s="91"/>
      <x:c r="G13" s="91"/>
      <x:c r="H13" s="91"/>
      <x:c r="I13" s="91"/>
      <x:c r="J13" s="91"/>
      <x:c r="K13" s="90" t="str">
        <x:v>486 mutually exclusive patients: 325 small and 161 medium; weights 0.668724 and 0.331276</x:v>
      </x:c>
      <x:c r="L13" s="90"/>
      <x:c r="M13" s="90"/>
      <x:c r="N13" s="90" t="str">
        <x:v>Size weights for the principal low-risk estimate</x:v>
      </x:c>
      <x:c r="O13" s="90" t="str">
        <x:v>Internal, non-public cohort. These are patients classified by the largest recorded polyp, not a lesion-level distribution. The historical cohort gives 204/318 and 114/318.</x:v>
      </x:c>
    </x:row>
    <x:row r="14" ht="92" customHeight="1">
      <x:c r="A14" s="90" t="str">
        <x:v>low_risk_weighted_max_proxy</x:v>
      </x:c>
      <x:c r="B14" s="90" t="str">
        <x:v>Model derivation from Martin-Lopez/AETSA size performance, Zhao 2019 tubular sensitivity, and PRENEC patient weights.</x:v>
      </x:c>
      <x:c r="C14" s="90" t="str">
        <x:v>Composite model proxy</x:v>
      </x:c>
      <x:c r="D14" s="90" t="str">
        <x:v>Low-risk adenoma: small/tubular and medium/tubular</x:v>
      </x:c>
      <x:c r="E14" s="91" t="n">
        <x:f>'Calculo_low_risk'!C20</x:f>
        <x:v>0.7984279835390946</x:v>
      </x:c>
      <x:c r="F14" s="91" t="n">
        <x:f>'Calculo_especificidad'!C20</x:f>
        <x:v>0.9819876543209877</x:v>
      </x:c>
      <x:c r="G14" s="91" t="n">
        <x:f>'Calculo_low_risk'!C25</x:f>
        <x:v>0.7686</x:v>
      </x:c>
      <x:c r="H14" s="91" t="n">
        <x:f>'Calculo_low_risk'!C26</x:f>
        <x:v>0.8267</x:v>
      </x:c>
      <x:c r="I14" s="91" t="n">
        <x:v>0.975170683</x:v>
      </x:c>
      <x:c r="J14" s="91" t="n">
        <x:v>0.987739077</x:v>
      </x:c>
      <x:c r="K14" s="90" t="str">
        <x:v>Sensitivity: PRENEC-weighted maximum proxy. Specificity: (325/486)*0.980 + (161/486)*mean(0.980,0.992); Beta moment match N=1709.9542283</x:v>
      </x:c>
      <x:c r="L14" s="90" t="str">
        <x:v>10.1053/j.gastro.2019.01.260</x:v>
      </x:c>
      <x:c r="M14" s="90" t="str">
        <x:v>https://pubmed.ncbi.nlm.nih.gov/16454841/ | https://www.aetsa.org/download/publicaciones/antiguas/AETSA_2011_1_ColonoscopiaTAC.pdf | https://pubmed.ncbi.nlm.nih.gov/30738046/</x:v>
      </x:c>
      <x:c r="N14" s="90" t="str">
        <x:v>Low-risk sensitivity; low-risk specificity proxy not yet applied</x:v>
      </x:c>
      <x:c r="O14" s="90" t="str">
        <x:v>Model proxy, not a published synthesis. Specificity uses only patient-level size strata because Zhao 2019 reports lesion-level miss rates and no specificity. Specificity beta a/b are moment-matched pseudocounts, not observed TN/FP.</x:v>
      </x:c>
    </x:row>
    <x:row r="15" ht="92" customHeight="1">
      <x:c r="A15" s="90" t="str">
        <x:v>zhao_2023_advanced_adenoma_patient_combined</x:v>
      </x:c>
      <x:c r="B15" s="90" t="str">
        <x:v>Zhao S, Song Y, Wang S, et al. Am J Gastroenterol. 2023;118(5):802-811.</x:v>
      </x:c>
      <x:c r="C15" s="90" t="str">
        <x:v>Tandem optical colonoscopy</x:v>
      </x:c>
      <x:c r="D15" s="90" t="str">
        <x:v>Advanced adenoma, per patient; randomized 9-min and 6-min withdrawal arms combined</x:v>
      </x:c>
      <x:c r="E15" s="91" t="n">
        <x:v>0.8205128205128205</x:v>
      </x:c>
      <x:c r="F15" s="91"/>
      <x:c r="G15" s="91" t="n">
        <x:v>0.6733</x:v>
      </x:c>
      <x:c r="H15" s="91" t="n">
        <x:v>0.9102</x:v>
      </x:c>
      <x:c r="I15" s="91"/>
      <x:c r="J15" s="91"/>
      <x:c r="K15" s="90" t="str">
        <x:v>First colonoscopy detected 17/18 patients in the 9-min arm and 15/21 in the 6-min arm; combined 32/39</x:v>
      </x:c>
      <x:c r="L15" s="90" t="str">
        <x:v>10.14309/ajg.0000000000002055</x:v>
      </x:c>
      <x:c r="M15" s="90" t="str">
        <x:v>https://pmc.ncbi.nlm.nih.gov/articles/PMC10144327/</x:v>
      </x:c>
      <x:c r="N15" s="90" t="str">
        <x:v>High-risk sensitivity</x:v>
      </x:c>
      <x:c r="O15" s="90" t="str">
        <x:v>The combined sensitivity is exploratory across withdrawal-time arms. Zhao 2023 does not provide independent specificity: a nominal 694/694 among tandem-negative participants is structurally 1 because the reference standard incorporates both colonoscopies.</x:v>
      </x:c>
    </x:row>
  </x:sheetData>
  <x:pageMargins left="0.7" right="0.7" top="0.75" bottom="0.75" header="0.3" footer="0.3"/>
  <x:tableParts count="1">
    <x:tablePart xmlns:r="http://schemas.openxmlformats.org/officeDocument/2006/relationships" r:id="R6a69c1b89b3d4f35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1" hidden="0" customWidth="1"/>
    <x:col min="2" max="2" width="105" hidden="0" customWidth="1"/>
  </x:cols>
  <x:sheetData>
    <x:row r="1">
      <x:c r="A1" s="194" t="str">
        <x:v>Campo/concepto</x:v>
      </x:c>
      <x:c r="B1" s="196" t="str">
        <x:v>Definicion</x:v>
      </x:c>
    </x:row>
    <x:row r="2" ht="48" customHeight="1">
      <x:c r="A2" s="64" t="str">
        <x:v>lesion_key</x:v>
      </x:c>
      <x:c r="B2" s="47" t="str">
        <x:v>Clave estable que el cargador R transforma en los objetos small, medium, large, low_risk, high_risk y ca.</x:v>
      </x:c>
    </x:row>
    <x:row r="3" ht="48" customHeight="1">
      <x:c r="A3" s="64" t="str">
        <x:v>metric</x:v>
      </x:c>
      <x:c r="B3" s="47" t="str">
        <x:v>sensitivity o specificity.</x:v>
      </x:c>
    </x:row>
    <x:row r="4" ht="48" customHeight="1">
      <x:c r="A4" s="64" t="str">
        <x:v>estimate</x:v>
      </x:c>
      <x:c r="B4" s="47" t="str">
        <x:v>Media de la distribucion beta antes de agregar el prior; debe ser beta_a/(beta_a+beta_b).</x:v>
      </x:c>
    </x:row>
    <x:row r="5" ht="48" customHeight="1">
      <x:c r="A5" s="64" t="str">
        <x:v>beta_a</x:v>
      </x:c>
      <x:c r="B5" s="47" t="str">
        <x:v>Pseudoconteo de aciertos: detectados para sensibilidad; verdaderos negativos para especificidad.</x:v>
      </x:c>
    </x:row>
    <x:row r="6" ht="48" customHeight="1">
      <x:c r="A6" s="64" t="str">
        <x:v>beta_b</x:v>
      </x:c>
      <x:c r="B6" s="47" t="str">
        <x:v>Pseudoconteo de errores: omitidos para sensibilidad; falsos positivos para especificidad.</x:v>
      </x:c>
    </x:row>
    <x:row r="7" ht="48" customHeight="1">
      <x:c r="A7" s="64" t="str">
        <x:v>n_effective</x:v>
      </x:c>
      <x:c r="B7" s="47" t="str">
        <x:v>Concentracion beta; debe ser beta_a + beta_b. En varias filas es el N heredado del modelo, no el N publicado.</x:v>
      </x:c>
    </x:row>
    <x:row r="8" ht="48" customHeight="1">
      <x:c r="A8" s="64" t="str">
        <x:v>ci_lower / ci_upper</x:v>
      </x:c>
      <x:c r="B8" s="47" t="str">
        <x:v>IC95% publicado cuando existe para la estimacion exacta. Se deja vacio para medias o derivaciones sin IC propio.</x:v>
      </x:c>
    </x:row>
    <x:row r="9" ht="48" customHeight="1">
      <x:c r="A9" s="64" t="str">
        <x:v>parameter_method</x:v>
      </x:c>
      <x:c r="B9" s="47" t="str">
        <x:v>Indica si el parametro reproduce el codigo heredado, usa una estimacion publicada o es un proxy.</x:v>
      </x:c>
    </x:row>
    <x:row r="10" ht="48" customHeight="1">
      <x:c r="A10" s="64" t="str">
        <x:v>source_id</x:v>
      </x:c>
      <x:c r="B10" s="47" t="str">
        <x:v>Vinculo con una fila de Evidencia_fuente.</x:v>
      </x:c>
    </x:row>
    <x:row r="11" ht="48" customHeight="1">
      <x:c r="A11" s="64" t="str">
        <x:v>proxy_from</x:v>
      </x:c>
      <x:c r="B11" s="47" t="str">
        <x:v>Estrato fuente usado cuando no existe una estimacion exacta para la categoria del modelo.</x:v>
      </x:c>
    </x:row>
    <x:row r="12" ht="48" customHeight="1">
      <x:c r="A12" s="64" t="str">
        <x:v>active</x:v>
      </x:c>
      <x:c r="B12" s="47" t="str">
        <x:v>Solo las filas TRUE son cargadas. El validador exige exactamente una fila activa por lesion y metrica.</x:v>
      </x:c>
    </x:row>
    <x:row r="13" ht="48" customHeight="1">
      <x:c r="A13" s="64" t="str">
        <x:v>used_current_model</x:v>
      </x:c>
      <x:c r="B13" s="47" t="str">
        <x:v>TRUE si las ecuaciones actuales usan el parametro. La especificidad queda FALSE porque aun no existe una correccion por falsos positivos de colonoscopia.</x:v>
      </x:c>
    </x:row>
    <x:row r="14" ht="48" customHeight="1">
      <x:c r="A14" s="65" t="str">
        <x:v>prior_added_in_R</x:v>
      </x:c>
      <x:c r="B14" s="66" t="str">
        <x:v>El script suma 0,5 a beta_a y 0,5 a beta_b al llamar qbeta; este prior no esta incorporado en los valores guardados.</x:v>
      </x:c>
    </x:row>
    <x:row r="15" ht="48" customHeight="1">
      <x:c r="A15" s="65" t="str">
        <x:v>Pseudoconteos</x:v>
      </x:c>
      <x:c r="B15" s="66" t="str">
        <x:v>Los a/b fraccionarios permiten conservar la media y la concentracion del codigo. No deben presentarse como TP, FN, TN o FP observados en un estudio.</x:v>
      </x:c>
    </x:row>
    <x:row r="16" ht="48" customHeight="1">
      <x:c r="A16" s="65" t="str">
        <x:v>Cambio de especificidad</x:v>
      </x:c>
      <x:c r="B16" s="66" t="str">
        <x:v>Editar estimate, beta_a, beta_b y n_effective de manera coherente. El cargador detiene la ejecucion si no coinciden.</x:v>
      </x:c>
    </x:row>
    <x:row r="17" ht="48" customHeight="1">
      <x:c r="A17" s="65" t="str">
        <x:v>Uso de especificidad</x:v>
      </x:c>
      <x:c r="B17" s="66" t="str">
        <x:v>Cargar spec_col_* no modifica la prevalencia. Incorporarla requiere definir y validar una nueva ecuacion de correccion.</x:v>
      </x:c>
    </x:row>
    <x:row r="18" ht="58" customHeight="1">
      <x:c r="A18" s="110" t="str">
        <x:v>Regla low-risk</x:v>
      </x:c>
      <x:c r="B18" s="90" t="str">
        <x:v>Se_low = w_small*max(Se_tamaño_small, Se_tubular) + w_medium*max(Se_tamaño_medium, Se_tubular). Es un supuesto optimista solicitado, no una síntesis publicada.</x:v>
      </x:c>
    </x:row>
    <x:row r="19" ht="58" customHeight="1">
      <x:c r="A19" s="110" t="str">
        <x:v>Cohorte para los pesos</x:v>
      </x:c>
      <x:c r="B19" s="90" t="str">
        <x:v>Principal: cohorte regional vigente, 325/486 pequeños y 161/486 medianos. La hoja Calculo_low_risk conserva también la cohorte histórica 204/318 y 114/318.</x:v>
      </x:c>
    </x:row>
    <x:row r="20" ht="58" customHeight="1">
      <x:c r="A20" s="110" t="str">
        <x:v>Beta low-risk</x:v>
      </x:c>
      <x:c r="B20" s="90" t="str">
        <x:v>La concentración equivalente se ajustó por momentos a la incertidumbre de los componentes; beta_a y beta_b no deben interpretarse como TP y FN observados.</x:v>
      </x:c>
    </x:row>
    <x:row r="21" ht="58" customHeight="1">
      <x:c r="A21" s="205" t="str">
        <x:v>Especificidad low-risk</x:v>
      </x:c>
      <x:c r="B21" s="206" t="str">
        <x:v>Ponderacion PRENEC por tamano: 325/486 pequenos y 161/486 medianos. Solo usa especificidades por paciente de Martin-Lopez/AETSA; Zhao 2019 no informa especificidad tubular.</x:v>
      </x:c>
    </x:row>
    <x:row r="22" ht="58" customHeight="1">
      <x:c r="A22" s="205" t="str">
        <x:v>Especificidad high-risk</x:v>
      </x:c>
      <x:c r="B22" s="206" t="str">
        <x:v>Proxy por paciente &gt;10 mm de Martin-Lopez/AETSA: 1664 TN y 159 FP (0,912781; IC95% 0,899-0,925). No cubre histologia avanzada en adenomas &lt;10 mm.</x:v>
      </x:c>
    </x:row>
    <x:row r="23" ht="58" customHeight="1">
      <x:c r="A23" s="205" t="str">
        <x:v>Zhao y especificidad</x:v>
      </x:c>
      <x:c r="B23" s="206" t="str">
        <x:v>Los estudios tandem Zhao 2019/2023 no permiten estimar especificidad independiente. Un valor 1,00 derivado de la union de ambas colonoscopias es estructural y no se usa como parametro activo.</x:v>
      </x:c>
    </x:row>
    <x:row r="24" ht="58" customHeight="1">
      <x:c r="A24" s="207" t="str">
        <x:v>Adenoma total</x:v>
      </x:c>
      <x:c r="B24" s="208" t="str">
        <x:v>Desenlace directo. Usa la sensibilidad global por paciente de Martin-Lopez/AETSA; evita excluir adenomas sin clasificacion de tamano o riesgo.</x:v>
      </x:c>
    </x:row>
  </x:sheetData>
  <x:pageMargins left="0.7" right="0.7" top="0.75" bottom="0.75" header="0.3" footer="0.3"/>
  <x:tableParts count="1">
    <x:tablePart xmlns:r="http://schemas.openxmlformats.org/officeDocument/2006/relationships" r:id="Rb02e0281071a49f5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9" hidden="0" customWidth="1"/>
    <x:col min="2" max="2" width="48" hidden="0" customWidth="1"/>
    <x:col min="3" max="3" width="17" hidden="0" customWidth="1"/>
    <x:col min="4" max="4" width="14" hidden="0" customWidth="1"/>
    <x:col min="5" max="5" width="14" hidden="0" customWidth="1"/>
    <x:col min="6" max="6" width="43" hidden="0" customWidth="1"/>
    <x:col min="7" max="7" width="75" hidden="0" customWidth="1"/>
  </x:cols>
  <x:sheetData>
    <x:row r="1" ht="30" customHeight="1">
      <x:c r="A1" s="70" t="str">
        <x:v>Cálculo auditable de sensibilidad: adenomas de bajo riesgo</x:v>
      </x:c>
      <x:c r="B1" s="70"/>
      <x:c r="C1" s="70"/>
      <x:c r="D1" s="70"/>
      <x:c r="E1" s="70"/>
      <x:c r="F1" s="70"/>
      <x:c r="G1" s="70"/>
    </x:row>
    <x:row r="2" ht="42" customHeight="1">
      <x:c r="A2" s="74" t="str">
        <x:v>Principal: cohorte regional vigente (37.206 personas). Los pesos son pacientes highrisk==1 y risk=='low_risk', clasificados por el pólipo mayor. La cohorte histórica queda como análisis de sensibilidad.</x:v>
      </x:c>
      <x:c r="B2" s="74"/>
      <x:c r="C2" s="74"/>
      <x:c r="D2" s="74"/>
      <x:c r="E2" s="74"/>
      <x:c r="F2" s="74"/>
      <x:c r="G2" s="74"/>
    </x:row>
    <x:row r="3">
      <x:c r="A3" s="97"/>
      <x:c r="B3" s="97"/>
      <x:c r="C3" s="97"/>
      <x:c r="D3" s="97"/>
      <x:c r="E3" s="97"/>
      <x:c r="F3" s="97"/>
      <x:c r="G3" s="97"/>
    </x:row>
    <x:row r="4" ht="42" customHeight="1">
      <x:c r="A4" s="194" t="str">
        <x:v>component_key</x:v>
      </x:c>
      <x:c r="B4" s="195" t="str">
        <x:v>componente</x:v>
      </x:c>
      <x:c r="C4" s="195" t="str">
        <x:v>valor</x:v>
      </x:c>
      <x:c r="D4" s="195" t="str">
        <x:v>numerador</x:v>
      </x:c>
      <x:c r="E4" s="195" t="str">
        <x:v>denominador</x:v>
      </x:c>
      <x:c r="F4" s="195" t="str">
        <x:v>fuente/base</x:v>
      </x:c>
      <x:c r="G4" s="196" t="str">
        <x:v>interpretación y regla</x:v>
      </x:c>
    </x:row>
    <x:row r="5" ht="48" customHeight="1">
      <x:c r="A5" s="34" t="str">
        <x:v>n_small_current</x:v>
      </x:c>
      <x:c r="B5" s="34" t="str">
        <x:v>Pacientes low-risk pequeños, cohorte regional</x:v>
      </x:c>
      <x:c r="C5" s="101" t="n">
        <x:v>325</x:v>
      </x:c>
      <x:c r="D5" s="101" t="n">
        <x:v>325</x:v>
      </x:c>
      <x:c r="E5" s="101" t="n">
        <x:v>486</x:v>
      </x:c>
      <x:c r="F5" s="34" t="str">
        <x:v>PRENEC regional vigente</x:v>
      </x:c>
      <x:c r="G5" s="34" t="str">
        <x:v>Incluye 17 registros con tamaño cualitativo 'Pequeño' y Tamano_mm faltante.</x:v>
      </x:c>
    </x:row>
    <x:row r="6" ht="48" customHeight="1">
      <x:c r="A6" s="34" t="str">
        <x:v>n_medium_current</x:v>
      </x:c>
      <x:c r="B6" s="34" t="str">
        <x:v>Pacientes low-risk medianos, cohorte regional</x:v>
      </x:c>
      <x:c r="C6" s="101" t="n">
        <x:v>161</x:v>
      </x:c>
      <x:c r="D6" s="101" t="n">
        <x:v>161</x:v>
      </x:c>
      <x:c r="E6" s="101" t="n">
        <x:v>486</x:v>
      </x:c>
      <x:c r="F6" s="34" t="str">
        <x:v>PRENEC regional vigente</x:v>
      </x:c>
      <x:c r="G6" s="34" t="str">
        <x:v>Categoría 6-9 mm según adenoma_size.</x:v>
      </x:c>
    </x:row>
    <x:row r="7" ht="48" customHeight="1">
      <x:c r="A7" s="34" t="str">
        <x:v>n_total_current</x:v>
      </x:c>
      <x:c r="B7" s="34" t="str">
        <x:v>Total low-risk, cohorte regional</x:v>
      </x:c>
      <x:c r="C7" s="101" t="n">
        <x:f>C5+C6</x:f>
        <x:v>486</x:v>
      </x:c>
      <x:c r="D7" s="101"/>
      <x:c r="E7" s="101"/>
      <x:c r="F7" s="34" t="str">
        <x:v>PRENEC regional vigente</x:v>
      </x:c>
      <x:c r="G7" s="34" t="str">
        <x:v>Suma de pequeños y medianos.</x:v>
      </x:c>
    </x:row>
    <x:row r="8" ht="48" customHeight="1">
      <x:c r="A8" s="34" t="str">
        <x:v>w_small_current</x:v>
      </x:c>
      <x:c r="B8" s="34" t="str">
        <x:v>Peso pequeños, cohorte regional</x:v>
      </x:c>
      <x:c r="C8" s="102" t="n">
        <x:f>C5/C7</x:f>
        <x:v>0.668724279835391</x:v>
      </x:c>
      <x:c r="D8" s="101"/>
      <x:c r="E8" s="101"/>
      <x:c r="F8" s="34" t="str">
        <x:v>PRENEC regional vigente</x:v>
      </x:c>
      <x:c r="G8" s="34" t="str">
        <x:v>Proporción por paciente.</x:v>
      </x:c>
    </x:row>
    <x:row r="9" ht="48" customHeight="1">
      <x:c r="A9" s="34" t="str">
        <x:v>w_medium_current</x:v>
      </x:c>
      <x:c r="B9" s="34" t="str">
        <x:v>Peso medianos, cohorte regional</x:v>
      </x:c>
      <x:c r="C9" s="102" t="n">
        <x:f>C6/C7</x:f>
        <x:v>0.33127572016460904</x:v>
      </x:c>
      <x:c r="D9" s="101"/>
      <x:c r="E9" s="101"/>
      <x:c r="F9" s="34" t="str">
        <x:v>PRENEC regional vigente</x:v>
      </x:c>
      <x:c r="G9" s="34" t="str">
        <x:v>Proporción por paciente.</x:v>
      </x:c>
    </x:row>
    <x:row r="10" ht="48" customHeight="1">
      <x:c r="A10" s="34" t="str">
        <x:v>n_small_historical</x:v>
      </x:c>
      <x:c r="B10" s="34" t="str">
        <x:v>Pacientes low-risk pequeños, cohorte histórica</x:v>
      </x:c>
      <x:c r="C10" s="101" t="n">
        <x:v>204</x:v>
      </x:c>
      <x:c r="D10" s="101" t="n">
        <x:v>204</x:v>
      </x:c>
      <x:c r="E10" s="101" t="n">
        <x:v>318</x:v>
      </x:c>
      <x:c r="F10" s="34" t="str">
        <x:v>Base_prenec/BaseSens histórica</x:v>
      </x:c>
      <x:c r="G10" s="34" t="str">
        <x:v>Comparador; 187 con Tamano_mm&lt;=5 y 17 con tamaño cualitativo 'Pequeño'.</x:v>
      </x:c>
    </x:row>
    <x:row r="11" ht="48" customHeight="1">
      <x:c r="A11" s="34" t="str">
        <x:v>n_medium_historical</x:v>
      </x:c>
      <x:c r="B11" s="34" t="str">
        <x:v>Pacientes low-risk medianos, cohorte histórica</x:v>
      </x:c>
      <x:c r="C11" s="101" t="n">
        <x:v>114</x:v>
      </x:c>
      <x:c r="D11" s="101" t="n">
        <x:v>114</x:v>
      </x:c>
      <x:c r="E11" s="101" t="n">
        <x:v>318</x:v>
      </x:c>
      <x:c r="F11" s="34" t="str">
        <x:v>Base_prenec/BaseSens histórica</x:v>
      </x:c>
      <x:c r="G11" s="34" t="str">
        <x:v>Comparador; categoría 6-9 mm.</x:v>
      </x:c>
    </x:row>
    <x:row r="12" ht="48" customHeight="1">
      <x:c r="A12" s="34" t="str">
        <x:v>n_total_historical</x:v>
      </x:c>
      <x:c r="B12" s="34" t="str">
        <x:v>Total low-risk, cohorte histórica</x:v>
      </x:c>
      <x:c r="C12" s="101" t="n">
        <x:f>C10+C11</x:f>
        <x:v>318</x:v>
      </x:c>
      <x:c r="D12" s="101"/>
      <x:c r="E12" s="101"/>
      <x:c r="F12" s="34" t="str">
        <x:v>Base_prenec/BaseSens histórica</x:v>
      </x:c>
      <x:c r="G12" s="34" t="str">
        <x:v>Suma de pequeños y medianos.</x:v>
      </x:c>
    </x:row>
    <x:row r="13" ht="48" customHeight="1">
      <x:c r="A13" s="34" t="str">
        <x:v>w_small_historical</x:v>
      </x:c>
      <x:c r="B13" s="34" t="str">
        <x:v>Peso pequeños, cohorte histórica</x:v>
      </x:c>
      <x:c r="C13" s="102" t="n">
        <x:f>C10/C12</x:f>
        <x:v>0.6415094339622641</x:v>
      </x:c>
      <x:c r="D13" s="101"/>
      <x:c r="E13" s="101"/>
      <x:c r="F13" s="34" t="str">
        <x:v>Base_prenec/BaseSens histórica</x:v>
      </x:c>
      <x:c r="G13" s="34" t="str">
        <x:v>Proporción por paciente.</x:v>
      </x:c>
    </x:row>
    <x:row r="14" ht="48" customHeight="1">
      <x:c r="A14" s="34" t="str">
        <x:v>w_medium_historical</x:v>
      </x:c>
      <x:c r="B14" s="34" t="str">
        <x:v>Peso medianos, cohorte histórica</x:v>
      </x:c>
      <x:c r="C14" s="102" t="n">
        <x:f>C11/C12</x:f>
        <x:v>0.3584905660377358</x:v>
      </x:c>
      <x:c r="D14" s="101"/>
      <x:c r="E14" s="101"/>
      <x:c r="F14" s="34" t="str">
        <x:v>Base_prenec/BaseSens histórica</x:v>
      </x:c>
      <x:c r="G14" s="34" t="str">
        <x:v>Proporción por paciente.</x:v>
      </x:c>
    </x:row>
    <x:row r="15" ht="48" customHeight="1">
      <x:c r="A15" s="34" t="str">
        <x:v>sens_size_small</x:v>
      </x:c>
      <x:c r="B15" s="34" t="str">
        <x:v>Sensibilidad por tamaño: pequeño</x:v>
      </x:c>
      <x:c r="C15" s="102" t="n">
        <x:v>0.76</x:v>
      </x:c>
      <x:c r="D15" s="101"/>
      <x:c r="E15" s="101"/>
      <x:c r="F15" s="34" t="str">
        <x:v>Parámetro small vigente: 0,76</x:v>
      </x:c>
      <x:c r="G15" s="34" t="str">
        <x:v>Sensibilidad usada por el modelo para adenomas de 1-5 mm; aproximación heredada documentada en Parametros_modelo.</x:v>
      </x:c>
    </x:row>
    <x:row r="16" ht="48" customHeight="1">
      <x:c r="A16" s="34" t="str">
        <x:v>sens_size_medium</x:v>
      </x:c>
      <x:c r="B16" s="34" t="str">
        <x:v>Sensibilidad por tamaño: mediano</x:v>
      </x:c>
      <x:c r="C16" s="102" t="n">
        <x:v>0.876</x:v>
      </x:c>
      <x:c r="D16" s="101"/>
      <x:c r="E16" s="101"/>
      <x:c r="F16" s="34" t="str">
        <x:v>Media 0,867 (5-7 mm) y 0,885 (8-10 mm)</x:v>
      </x:c>
      <x:c r="G16" s="34" t="str">
        <x:v>Estimador medium vigente para PRENEC 6-9 mm; el estrato 8-10 incluye 10 mm.</x:v>
      </x:c>
    </x:row>
    <x:row r="17" ht="48" customHeight="1">
      <x:c r="A17" s="34" t="str">
        <x:v>sens_tubular</x:v>
      </x:c>
      <x:c r="B17" s="34" t="str">
        <x:v>Sensibilidad por histología tubular</x:v>
      </x:c>
      <x:c r="C17" s="102" t="n">
        <x:v>0.69</x:v>
      </x:c>
      <x:c r="D17" s="101"/>
      <x:c r="E17" s="101"/>
      <x:c r="F17" s="34" t="str">
        <x:v>Zhao 2019: 1 - AMR tubular 0,31</x:v>
      </x:c>
      <x:c r="G17" s="34" t="str">
        <x:v>Evidencia por lesión, no por paciente; IC transformado aproximado 0,56-0,80.</x:v>
      </x:c>
    </x:row>
    <x:row r="18" ht="48" customHeight="1">
      <x:c r="A18" s="34" t="str">
        <x:v>sens_selected_small</x:v>
      </x:c>
      <x:c r="B18" s="34" t="str">
        <x:v>Sensibilidad elegida: pequeño/tubular</x:v>
      </x:c>
      <x:c r="C18" s="102" t="n">
        <x:f>MAX(C15,C17)</x:f>
        <x:v>0.76</x:v>
      </x:c>
      <x:c r="D18" s="101"/>
      <x:c r="E18" s="101"/>
      <x:c r="F18" s="34" t="str">
        <x:v>Regla solicitada</x:v>
      </x:c>
      <x:c r="G18" s="34" t="str">
        <x:v>Máximo entre sensibilidad por tamaño e histología.</x:v>
      </x:c>
    </x:row>
    <x:row r="19" ht="48" customHeight="1">
      <x:c r="A19" s="34" t="str">
        <x:v>sens_selected_medium</x:v>
      </x:c>
      <x:c r="B19" s="34" t="str">
        <x:v>Sensibilidad elegida: mediano/tubular</x:v>
      </x:c>
      <x:c r="C19" s="102" t="n">
        <x:f>MAX(C16,C17)</x:f>
        <x:v>0.876</x:v>
      </x:c>
      <x:c r="D19" s="101"/>
      <x:c r="E19" s="101"/>
      <x:c r="F19" s="34" t="str">
        <x:v>Regla solicitada</x:v>
      </x:c>
      <x:c r="G19" s="34" t="str">
        <x:v>Máximo entre sensibilidad por tamaño e histología.</x:v>
      </x:c>
    </x:row>
    <x:row r="20" ht="48" customHeight="1">
      <x:c r="A20" s="103" t="str">
        <x:v>sens_lowrisk_current</x:v>
      </x:c>
      <x:c r="B20" s="103" t="str">
        <x:v>Sensibilidad low-risk ponderada, cohorte regional</x:v>
      </x:c>
      <x:c r="C20" s="104" t="n">
        <x:f>C8*C18+C9*C19</x:f>
        <x:v>0.7984279835390946</x:v>
      </x:c>
      <x:c r="D20" s="105"/>
      <x:c r="E20" s="105"/>
      <x:c r="F20" s="103" t="str">
        <x:v>Derivación del modelo</x:v>
      </x:c>
      <x:c r="G20" s="103" t="str">
        <x:v>w_small*max(size_small,tubular)+w_medium*max(size_medium,tubular).</x:v>
      </x:c>
    </x:row>
    <x:row r="21" ht="48" customHeight="1">
      <x:c r="A21" s="103" t="str">
        <x:v>sens_lowrisk_historical</x:v>
      </x:c>
      <x:c r="B21" s="103" t="str">
        <x:v>Sensibilidad low-risk ponderada, cohorte histórica</x:v>
      </x:c>
      <x:c r="C21" s="104" t="n">
        <x:f>C13*C18+C14*C19</x:f>
        <x:v>0.8015849056603773</x:v>
      </x:c>
      <x:c r="D21" s="105"/>
      <x:c r="E21" s="105"/>
      <x:c r="F21" s="103" t="str">
        <x:v>Derivación del modelo</x:v>
      </x:c>
      <x:c r="G21" s="103" t="str">
        <x:v>Misma regla con pesos 204/318 y 114/318.</x:v>
      </x:c>
    </x:row>
    <x:row r="22" ht="48" customHeight="1">
      <x:c r="A22" s="103" t="str">
        <x:v>n_effective_current</x:v>
      </x:c>
      <x:c r="B22" s="103" t="str">
        <x:v>Concentración Beta equivalente</x:v>
      </x:c>
      <x:c r="C22" s="104" t="n">
        <x:v>730.0414304</x:v>
      </x:c>
      <x:c r="D22" s="105"/>
      <x:c r="E22" s="105"/>
      <x:c r="F22" s="103" t="str">
        <x:v>Ajuste por momentos</x:v>
      </x:c>
      <x:c r="G22" s="103" t="str">
        <x:v>Varianza de la mezcla con pmax ajustada por momentos y recentrada en el punto determinista 0,798428; 16 millones de sorteos, semilla 20260923, pesos regionales fijos.</x:v>
      </x:c>
    </x:row>
    <x:row r="23" ht="48" customHeight="1">
      <x:c r="A23" s="103" t="str">
        <x:v>beta_a_current</x:v>
      </x:c>
      <x:c r="B23" s="103" t="str">
        <x:v>Beta a equivalente</x:v>
      </x:c>
      <x:c r="C23" s="104" t="n">
        <x:f>C20*C22</x:f>
        <x:v>582.8855071742682</x:v>
      </x:c>
      <x:c r="D23" s="105"/>
      <x:c r="E23" s="105"/>
      <x:c r="F23" s="103" t="str">
        <x:v>Ajuste por momentos</x:v>
      </x:c>
      <x:c r="G23" s="103" t="str">
        <x:v>estimate*n_effective; no es un conteo observado de verdaderos positivos.</x:v>
      </x:c>
    </x:row>
    <x:row r="24" ht="48" customHeight="1">
      <x:c r="A24" s="103" t="str">
        <x:v>beta_b_current</x:v>
      </x:c>
      <x:c r="B24" s="103" t="str">
        <x:v>Beta b equivalente</x:v>
      </x:c>
      <x:c r="C24" s="104" t="n">
        <x:f>(1-C20)*C22</x:f>
        <x:v>147.1559232257317</x:v>
      </x:c>
      <x:c r="D24" s="105"/>
      <x:c r="E24" s="105"/>
      <x:c r="F24" s="103" t="str">
        <x:v>Ajuste por momentos</x:v>
      </x:c>
      <x:c r="G24" s="103" t="str">
        <x:v>(1-estimate)*n_effective; no es un conteo observado de falsos negativos.</x:v>
      </x:c>
    </x:row>
    <x:row r="25" ht="48" customHeight="1">
      <x:c r="A25" s="103" t="str">
        <x:v>ci_lower_current</x:v>
      </x:c>
      <x:c r="B25" s="103" t="str">
        <x:v>IC95% aproximado, límite inferior</x:v>
      </x:c>
      <x:c r="C25" s="104" t="n">
        <x:v>0.7686</x:v>
      </x:c>
      <x:c r="D25" s="105"/>
      <x:c r="E25" s="105"/>
      <x:c r="F25" s="103" t="str">
        <x:v>Beta equivalente</x:v>
      </x:c>
      <x:c r="G25" s="103" t="str">
        <x:v>Intervalo aproximado de la Beta equivalente recentrada.</x:v>
      </x:c>
    </x:row>
    <x:row r="26" ht="48" customHeight="1">
      <x:c r="A26" s="103" t="str">
        <x:v>ci_upper_current</x:v>
      </x:c>
      <x:c r="B26" s="103" t="str">
        <x:v>IC95% aproximado, límite superior</x:v>
      </x:c>
      <x:c r="C26" s="104" t="n">
        <x:v>0.8267</x:v>
      </x:c>
      <x:c r="D26" s="105"/>
      <x:c r="E26" s="105"/>
      <x:c r="F26" s="103" t="str">
        <x:v>Beta equivalente</x:v>
      </x:c>
      <x:c r="G26" s="103" t="str">
        <x:v>Intervalo aproximado de la Beta equivalente recentrada.</x:v>
      </x:c>
    </x:row>
    <x:row r="27" ht="48" customHeight="1">
      <x:c r="A27" s="106" t="str">
        <x:v>scenario_direct_8_10</x:v>
      </x:c>
      <x:c r="B27" s="106" t="str">
        <x:v>Escenario: usar 0,885 directamente para 6-9 mm</x:v>
      </x:c>
      <x:c r="C27" s="107" t="n">
        <x:f>C8*MAX(C15,C17)+C9*MAX(0.885,C17)</x:f>
        <x:v>0.8014094650205761</x:v>
      </x:c>
      <x:c r="D27" s="108"/>
      <x:c r="E27" s="108"/>
      <x:c r="F27" s="106" t="str">
        <x:v>Análisis de sensibilidad</x:v>
      </x:c>
      <x:c r="G27" s="106" t="str">
        <x:v>Mantiene 0,760 para pequeños y usa el estrato 8-10 mm (0,885) directamente para medianos.</x:v>
      </x:c>
    </x:row>
    <x:row r="28" ht="48" customHeight="1">
      <x:c r="A28" s="106" t="str">
        <x:v>delta_current_historical</x:v>
      </x:c>
      <x:c r="B28" s="106" t="str">
        <x:v>Diferencia regional - histórica</x:v>
      </x:c>
      <x:c r="C28" s="107" t="n">
        <x:f>C20-C21</x:f>
        <x:v>-0.0031569221212827125</x:v>
      </x:c>
      <x:c r="D28" s="108"/>
      <x:c r="E28" s="108"/>
      <x:c r="F28" s="106" t="str">
        <x:v>Control de cohorte</x:v>
      </x:c>
      <x:c r="G28" s="106" t="str">
        <x:v>Muestra el impacto de usar la cohorte regional en vez de la histórica.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a5945643f54b4f8c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1" hidden="0" customWidth="1"/>
    <x:col min="2" max="2" width="49" hidden="0" customWidth="1"/>
    <x:col min="3" max="3" width="16" hidden="0" customWidth="1"/>
    <x:col min="4" max="4" width="16" hidden="0" customWidth="1"/>
    <x:col min="5" max="5" width="16" hidden="0" customWidth="1"/>
    <x:col min="6" max="6" width="39" hidden="0" customWidth="1"/>
    <x:col min="7" max="7" width="76" hidden="0" customWidth="1"/>
  </x:cols>
  <x:sheetData>
    <x:row r="1" ht="30" customHeight="1">
      <x:c r="A1" s="192" t="str">
        <x:v>Calculo auditable de especificidad: adenomas de bajo y alto riesgo</x:v>
      </x:c>
      <x:c r="B1" s="192"/>
      <x:c r="C1" s="192"/>
      <x:c r="D1" s="192"/>
      <x:c r="E1" s="192"/>
      <x:c r="F1" s="192"/>
      <x:c r="G1" s="192"/>
    </x:row>
    <x:row r="2" ht="42" customHeight="1">
      <x:c r="A2" s="193" t="str">
        <x:v>Low-risk usa la mezcla PRENEC por tamano y especificidades por paciente de Martin-Lopez/AETSA. High-risk usa &gt;10 mm como proxy; Zhao no permite estimar especificidad independiente.</x:v>
      </x:c>
      <x:c r="B2" s="193"/>
      <x:c r="C2" s="193"/>
      <x:c r="D2" s="193"/>
      <x:c r="E2" s="193"/>
      <x:c r="F2" s="193"/>
      <x:c r="G2" s="193"/>
    </x:row>
    <x:row r="3">
      <x:c r="A3" s="97"/>
      <x:c r="B3" s="97"/>
      <x:c r="C3" s="97"/>
      <x:c r="D3" s="97"/>
      <x:c r="E3" s="97"/>
      <x:c r="F3" s="97"/>
      <x:c r="G3" s="97"/>
    </x:row>
    <x:row r="4" ht="42" customHeight="1">
      <x:c r="A4" s="194" t="str">
        <x:v>component_key</x:v>
      </x:c>
      <x:c r="B4" s="195" t="str">
        <x:v>componente</x:v>
      </x:c>
      <x:c r="C4" s="195" t="str">
        <x:v>valor</x:v>
      </x:c>
      <x:c r="D4" s="195" t="str">
        <x:v>ci_lower</x:v>
      </x:c>
      <x:c r="E4" s="195" t="str">
        <x:v>ci_upper</x:v>
      </x:c>
      <x:c r="F4" s="195" t="str">
        <x:v>fuente/base</x:v>
      </x:c>
      <x:c r="G4" s="196" t="str">
        <x:v>interpretacion y regla</x:v>
      </x:c>
    </x:row>
    <x:row r="5" ht="48" customHeight="1">
      <x:c r="A5" s="34" t="str">
        <x:v>n_small_current</x:v>
      </x:c>
      <x:c r="B5" s="34" t="str">
        <x:v>Pacientes low-risk pequenos, cohorte regional</x:v>
      </x:c>
      <x:c r="C5" s="102" t="n">
        <x:v>325</x:v>
      </x:c>
      <x:c r="D5" s="34"/>
      <x:c r="E5" s="34"/>
      <x:c r="F5" s="34" t="str">
        <x:v>PRENEC regional vigente</x:v>
      </x:c>
      <x:c r="G5" s="34" t="str">
        <x:v>Pacientes clasificados por el polipo mayor.</x:v>
      </x:c>
    </x:row>
    <x:row r="6" ht="48" customHeight="1">
      <x:c r="A6" s="34" t="str">
        <x:v>n_medium_current</x:v>
      </x:c>
      <x:c r="B6" s="34" t="str">
        <x:v>Pacientes low-risk medianos, cohorte regional</x:v>
      </x:c>
      <x:c r="C6" s="102" t="n">
        <x:v>161</x:v>
      </x:c>
      <x:c r="D6" s="34"/>
      <x:c r="E6" s="34"/>
      <x:c r="F6" s="34" t="str">
        <x:v>PRENEC regional vigente</x:v>
      </x:c>
      <x:c r="G6" s="34" t="str">
        <x:v>Pacientes clasificados por el polipo mayor.</x:v>
      </x:c>
    </x:row>
    <x:row r="7" ht="48" customHeight="1">
      <x:c r="A7" s="34" t="str">
        <x:v>n_total_current</x:v>
      </x:c>
      <x:c r="B7" s="34" t="str">
        <x:v>Total low-risk, cohorte regional</x:v>
      </x:c>
      <x:c r="C7" s="102" t="n">
        <x:f>C5+C6</x:f>
        <x:v>486</x:v>
      </x:c>
      <x:c r="D7" s="34"/>
      <x:c r="E7" s="34"/>
      <x:c r="F7" s="34" t="str">
        <x:v>PRENEC regional vigente</x:v>
      </x:c>
      <x:c r="G7" s="34" t="str">
        <x:v>Suma de pequenos y medianos.</x:v>
      </x:c>
    </x:row>
    <x:row r="8" ht="48" customHeight="1">
      <x:c r="A8" s="34" t="str">
        <x:v>w_small_current</x:v>
      </x:c>
      <x:c r="B8" s="34" t="str">
        <x:v>Peso pequenos, cohorte regional</x:v>
      </x:c>
      <x:c r="C8" s="102" t="n">
        <x:f>C5/C7</x:f>
        <x:v>0.668724279835391</x:v>
      </x:c>
      <x:c r="D8" s="34"/>
      <x:c r="E8" s="34"/>
      <x:c r="F8" s="34" t="str">
        <x:v>PRENEC regional vigente</x:v>
      </x:c>
      <x:c r="G8" s="34" t="str">
        <x:v>Proporcion por paciente.</x:v>
      </x:c>
    </x:row>
    <x:row r="9" ht="48" customHeight="1">
      <x:c r="A9" s="34" t="str">
        <x:v>w_medium_current</x:v>
      </x:c>
      <x:c r="B9" s="34" t="str">
        <x:v>Peso medianos, cohorte regional</x:v>
      </x:c>
      <x:c r="C9" s="102" t="n">
        <x:f>C6/C7</x:f>
        <x:v>0.33127572016460904</x:v>
      </x:c>
      <x:c r="D9" s="34"/>
      <x:c r="E9" s="34"/>
      <x:c r="F9" s="34" t="str">
        <x:v>PRENEC regional vigente</x:v>
      </x:c>
      <x:c r="G9" s="34" t="str">
        <x:v>Proporcion por paciente.</x:v>
      </x:c>
    </x:row>
    <x:row r="10" ht="48" customHeight="1">
      <x:c r="A10" s="34" t="str">
        <x:v>n_small_historical</x:v>
      </x:c>
      <x:c r="B10" s="34" t="str">
        <x:v>Pacientes low-risk pequenos, cohorte historica</x:v>
      </x:c>
      <x:c r="C10" s="102" t="n">
        <x:v>204</x:v>
      </x:c>
      <x:c r="D10" s="34"/>
      <x:c r="E10" s="34"/>
      <x:c r="F10" s="34" t="str">
        <x:v>Base_prenec/BaseSens historica</x:v>
      </x:c>
      <x:c r="G10" s="34" t="str">
        <x:v>Comparador de sensibilidad.</x:v>
      </x:c>
    </x:row>
    <x:row r="11" ht="48" customHeight="1">
      <x:c r="A11" s="34" t="str">
        <x:v>n_medium_historical</x:v>
      </x:c>
      <x:c r="B11" s="34" t="str">
        <x:v>Pacientes low-risk medianos, cohorte historica</x:v>
      </x:c>
      <x:c r="C11" s="102" t="n">
        <x:v>114</x:v>
      </x:c>
      <x:c r="D11" s="34"/>
      <x:c r="E11" s="34"/>
      <x:c r="F11" s="34" t="str">
        <x:v>Base_prenec/BaseSens historica</x:v>
      </x:c>
      <x:c r="G11" s="34" t="str">
        <x:v>Comparador de sensibilidad.</x:v>
      </x:c>
    </x:row>
    <x:row r="12" ht="48" customHeight="1">
      <x:c r="A12" s="34" t="str">
        <x:v>n_total_historical</x:v>
      </x:c>
      <x:c r="B12" s="34" t="str">
        <x:v>Total low-risk, cohorte historica</x:v>
      </x:c>
      <x:c r="C12" s="102" t="n">
        <x:f>C10+C11</x:f>
        <x:v>318</x:v>
      </x:c>
      <x:c r="D12" s="34"/>
      <x:c r="E12" s="34"/>
      <x:c r="F12" s="34" t="str">
        <x:v>Base_prenec/BaseSens historica</x:v>
      </x:c>
      <x:c r="G12" s="34" t="str">
        <x:v>Suma de pequenos y medianos.</x:v>
      </x:c>
    </x:row>
    <x:row r="13" ht="48" customHeight="1">
      <x:c r="A13" s="34" t="str">
        <x:v>w_small_historical</x:v>
      </x:c>
      <x:c r="B13" s="34" t="str">
        <x:v>Peso pequenos, cohorte historica</x:v>
      </x:c>
      <x:c r="C13" s="102" t="n">
        <x:f>C10/C12</x:f>
        <x:v>0.6415094339622641</x:v>
      </x:c>
      <x:c r="D13" s="34"/>
      <x:c r="E13" s="34"/>
      <x:c r="F13" s="34" t="str">
        <x:v>Base_prenec/BaseSens historica</x:v>
      </x:c>
      <x:c r="G13" s="34" t="str">
        <x:v>Proporcion por paciente.</x:v>
      </x:c>
    </x:row>
    <x:row r="14" ht="48" customHeight="1">
      <x:c r="A14" s="34" t="str">
        <x:v>w_medium_historical</x:v>
      </x:c>
      <x:c r="B14" s="34" t="str">
        <x:v>Peso medianos, cohorte historica</x:v>
      </x:c>
      <x:c r="C14" s="102" t="n">
        <x:f>C11/C12</x:f>
        <x:v>0.3584905660377358</x:v>
      </x:c>
      <x:c r="D14" s="34"/>
      <x:c r="E14" s="34"/>
      <x:c r="F14" s="34" t="str">
        <x:v>Base_prenec/BaseSens historica</x:v>
      </x:c>
      <x:c r="G14" s="34" t="str">
        <x:v>Proporcion por paciente.</x:v>
      </x:c>
    </x:row>
    <x:row r="15" ht="48" customHeight="1">
      <x:c r="A15" s="34" t="str">
        <x:v>spec_5_7</x:v>
      </x:c>
      <x:c r="B15" s="34" t="str">
        <x:v>Especificidad por paciente, 5-7 mm</x:v>
      </x:c>
      <x:c r="C15" s="102" t="n">
        <x:v>0.98</x:v>
      </x:c>
      <x:c r="D15" s="102" t="n">
        <x:v>0.971</x:v>
      </x:c>
      <x:c r="E15" s="102" t="n">
        <x:v>0.986</x:v>
      </x:c>
      <x:c r="F15" s="34" t="str">
        <x:v>Martin-Lopez/AETSA</x:v>
      </x:c>
      <x:c r="G15" s="34" t="str">
        <x:v>Proxy de tamano para pequenos; IC95% publicado.</x:v>
      </x:c>
    </x:row>
    <x:row r="16" ht="48" customHeight="1">
      <x:c r="A16" s="34" t="str">
        <x:v>spec_8_10</x:v>
      </x:c>
      <x:c r="B16" s="34" t="str">
        <x:v>Especificidad por paciente, 8-10 mm</x:v>
      </x:c>
      <x:c r="C16" s="102" t="n">
        <x:v>0.992</x:v>
      </x:c>
      <x:c r="D16" s="102" t="n">
        <x:v>0.986</x:v>
      </x:c>
      <x:c r="E16" s="102" t="n">
        <x:v>0.995</x:v>
      </x:c>
      <x:c r="F16" s="34" t="str">
        <x:v>Martin-Lopez/AETSA</x:v>
      </x:c>
      <x:c r="G16" s="34" t="str">
        <x:v>Componente de tamano para medianos; IC95% publicado.</x:v>
      </x:c>
    </x:row>
    <x:row r="17" ht="48" customHeight="1">
      <x:c r="A17" s="34" t="str">
        <x:v>spec_medium</x:v>
      </x:c>
      <x:c r="B17" s="34" t="str">
        <x:v>Especificidad por tamano, mediano</x:v>
      </x:c>
      <x:c r="C17" s="102" t="n">
        <x:f>(C15+C16)/2</x:f>
        <x:v>0.986</x:v>
      </x:c>
      <x:c r="D17" s="102"/>
      <x:c r="E17" s="102"/>
      <x:c r="F17" s="34" t="str">
        <x:v>Media 5-7 y 8-10 mm</x:v>
      </x:c>
      <x:c r="G17" s="34" t="str">
        <x:v>Media simple, igual que el parametro medium vigente.</x:v>
      </x:c>
    </x:row>
    <x:row r="18" ht="48" customHeight="1">
      <x:c r="A18" s="34" t="str">
        <x:v>coef_5_7_current</x:v>
      </x:c>
      <x:c r="B18" s="34" t="str">
        <x:v>Coeficiente total del estrato 5-7</x:v>
      </x:c>
      <x:c r="C18" s="102" t="n">
        <x:f>C8+C9/2</x:f>
        <x:v>0.8343621399176955</x:v>
      </x:c>
      <x:c r="D18" s="102"/>
      <x:c r="E18" s="102"/>
      <x:c r="F18" s="34" t="str">
        <x:v>Derivacion del modelo</x:v>
      </x:c>
      <x:c r="G18" s="34" t="str">
        <x:v>w_small + w_medium/2.</x:v>
      </x:c>
    </x:row>
    <x:row r="19" ht="48" customHeight="1">
      <x:c r="A19" s="34" t="str">
        <x:v>coef_8_10_current</x:v>
      </x:c>
      <x:c r="B19" s="34" t="str">
        <x:v>Coeficiente total del estrato 8-10</x:v>
      </x:c>
      <x:c r="C19" s="102" t="n">
        <x:f>C9/2</x:f>
        <x:v>0.16563786008230452</x:v>
      </x:c>
      <x:c r="D19" s="102"/>
      <x:c r="E19" s="102"/>
      <x:c r="F19" s="34" t="str">
        <x:v>Derivacion del modelo</x:v>
      </x:c>
      <x:c r="G19" s="34" t="str">
        <x:v>w_medium/2.</x:v>
      </x:c>
    </x:row>
    <x:row r="20" ht="48" customHeight="1">
      <x:c r="A20" s="201" t="str">
        <x:v>spec_lowrisk_current</x:v>
      </x:c>
      <x:c r="B20" s="201" t="str">
        <x:v>Especificidad low-risk ponderada, cohorte regional</x:v>
      </x:c>
      <x:c r="C20" s="202" t="n">
        <x:f>C18*C15+C19*C16</x:f>
        <x:v>0.9819876543209877</x:v>
      </x:c>
      <x:c r="D20" s="202"/>
      <x:c r="E20" s="202"/>
      <x:c r="F20" s="201" t="str">
        <x:v>Derivacion del modelo</x:v>
      </x:c>
      <x:c r="G20" s="201" t="str">
        <x:v>w_small*Sp_5-7 + w_medium*media(Sp_5-7,Sp_8-10). Zhao tubular no aporta especificidad.</x:v>
      </x:c>
    </x:row>
    <x:row r="21" ht="48" customHeight="1">
      <x:c r="A21" s="201" t="str">
        <x:v>spec_lowrisk_historical</x:v>
      </x:c>
      <x:c r="B21" s="201" t="str">
        <x:v>Especificidad low-risk ponderada, cohorte historica</x:v>
      </x:c>
      <x:c r="C21" s="202" t="n">
        <x:f>(C13+C14/2)*C15+(C14/2)*C16</x:f>
        <x:v>0.9821509433962263</x:v>
      </x:c>
      <x:c r="D21" s="202"/>
      <x:c r="E21" s="202"/>
      <x:c r="F21" s="201" t="str">
        <x:v>Analisis de sensibilidad</x:v>
      </x:c>
      <x:c r="G21" s="201" t="str">
        <x:v>Misma regla con pesos 204/318 y 114/318.</x:v>
      </x:c>
    </x:row>
    <x:row r="22" ht="48" customHeight="1">
      <x:c r="A22" s="201" t="str">
        <x:v>var_spec_5_7</x:v>
      </x:c>
      <x:c r="B22" s="201" t="str">
        <x:v>Varianza aproximada de Sp 5-7</x:v>
      </x:c>
      <x:c r="C22" s="202" t="n">
        <x:f>((E15-D15)/(2*1.96))^2</x:f>
        <x:v>0.00001464233652644734</x:v>
      </x:c>
      <x:c r="D22" s="202"/>
      <x:c r="E22" s="202"/>
      <x:c r="F22" s="201" t="str">
        <x:v>Aproximacion normal del IC95%</x:v>
      </x:c>
      <x:c r="G22" s="201" t="str">
        <x:v>((upper-lower)/(2*1,96))^2.</x:v>
      </x:c>
    </x:row>
    <x:row r="23" ht="48" customHeight="1">
      <x:c r="A23" s="201" t="str">
        <x:v>var_spec_8_10</x:v>
      </x:c>
      <x:c r="B23" s="201" t="str">
        <x:v>Varianza aproximada de Sp 8-10</x:v>
      </x:c>
      <x:c r="C23" s="202" t="n">
        <x:f>((E16-D16)/(2*1.96))^2</x:f>
        <x:v>0.000005271241149521042</x:v>
      </x:c>
      <x:c r="D23" s="202"/>
      <x:c r="E23" s="202"/>
      <x:c r="F23" s="201" t="str">
        <x:v>Aproximacion normal del IC95%</x:v>
      </x:c>
      <x:c r="G23" s="201" t="str">
        <x:v>((upper-lower)/(2*1,96))^2.</x:v>
      </x:c>
    </x:row>
    <x:row r="24" ht="48" customHeight="1">
      <x:c r="A24" s="201" t="str">
        <x:v>var_spec_lowrisk</x:v>
      </x:c>
      <x:c r="B24" s="201" t="str">
        <x:v>Varianza aproximada de la mezcla low-risk</x:v>
      </x:c>
      <x:c r="C24" s="202" t="n">
        <x:f>C18^2*C22+C19^2*C23</x:f>
        <x:v>0.00001033803288830908</x:v>
      </x:c>
      <x:c r="D24" s="202"/>
      <x:c r="E24" s="202"/>
      <x:c r="F24" s="201" t="str">
        <x:v>Ajuste por momentos</x:v>
      </x:c>
      <x:c r="G24" s="201" t="str">
        <x:v>Asume independencia entre los dos estimadores publicados.</x:v>
      </x:c>
    </x:row>
    <x:row r="25" ht="48" customHeight="1">
      <x:c r="A25" s="201" t="str">
        <x:v>n_effective_lowrisk</x:v>
      </x:c>
      <x:c r="B25" s="201" t="str">
        <x:v>Concentracion Beta equivalente low-risk</x:v>
      </x:c>
      <x:c r="C25" s="202" t="n">
        <x:f>C20*(1-C20)/C24-1</x:f>
        <x:v>1709.954228260845</x:v>
      </x:c>
      <x:c r="D25" s="202"/>
      <x:c r="E25" s="202"/>
      <x:c r="F25" s="201" t="str">
        <x:v>Ajuste por momentos</x:v>
      </x:c>
      <x:c r="G25" s="201" t="str">
        <x:v>mu*(1-mu)/var-1; no es numero de pacientes.</x:v>
      </x:c>
    </x:row>
    <x:row r="26" ht="48" customHeight="1">
      <x:c r="A26" s="201" t="str">
        <x:v>beta_a_lowrisk</x:v>
      </x:c>
      <x:c r="B26" s="201" t="str">
        <x:v>Beta a equivalente low-risk</x:v>
      </x:c>
      <x:c r="C26" s="202" t="n">
        <x:f>C20*C25</x:f>
        <x:v>1679.1539416061219</x:v>
      </x:c>
      <x:c r="D26" s="202"/>
      <x:c r="E26" s="202"/>
      <x:c r="F26" s="201" t="str">
        <x:v>Ajuste por momentos</x:v>
      </x:c>
      <x:c r="G26" s="201" t="str">
        <x:v>estimate*n_effective; no es TN observado.</x:v>
      </x:c>
    </x:row>
    <x:row r="27" ht="48" customHeight="1">
      <x:c r="A27" s="201" t="str">
        <x:v>beta_b_lowrisk</x:v>
      </x:c>
      <x:c r="B27" s="201" t="str">
        <x:v>Beta b equivalente low-risk</x:v>
      </x:c>
      <x:c r="C27" s="202" t="n">
        <x:f>(1-C20)*C25</x:f>
        <x:v>30.800286654723095</x:v>
      </x:c>
      <x:c r="D27" s="202"/>
      <x:c r="E27" s="202"/>
      <x:c r="F27" s="201" t="str">
        <x:v>Ajuste por momentos</x:v>
      </x:c>
      <x:c r="G27" s="201" t="str">
        <x:v>(1-estimate)*n_effective; no es FP observado.</x:v>
      </x:c>
    </x:row>
    <x:row r="28" ht="48" customHeight="1">
      <x:c r="A28" s="203" t="str">
        <x:v>spec_highrisk_selected_proxy</x:v>
      </x:c>
      <x:c r="B28" s="203" t="str">
        <x:v>Especificidad high-risk: proxy seleccionado (no aplicado)</x:v>
      </x:c>
      <x:c r="C28" s="204" t="n">
        <x:f>1664/(1664+159)</x:f>
        <x:v>0.9127811300054854</x:v>
      </x:c>
      <x:c r="D28" s="204" t="n">
        <x:v>0.899</x:v>
      </x:c>
      <x:c r="E28" s="204" t="n">
        <x:v>0.925</x:v>
      </x:c>
      <x:c r="F28" s="203" t="str">
        <x:v>Martin-Lopez/AETSA &gt;10 mm</x:v>
      </x:c>
      <x:c r="G28" s="203" t="str">
        <x:v>1664 TN y 159 FP por paciente. No representa adenomas &lt;10 mm avanzados solo por histologia.</x:v>
      </x:c>
    </x:row>
    <x:row r="29" ht="48" customHeight="1">
      <x:c r="A29" s="203" t="str">
        <x:v>spec_highrisk_zhao_structural</x:v>
      </x:c>
      <x:c r="B29" s="203" t="str">
        <x:v>Escenario Zhao 2023, no activo</x:v>
      </x:c>
      <x:c r="C29" s="204" t="n">
        <x:f>694/694</x:f>
        <x:v>1</x:v>
      </x:c>
      <x:c r="D29" s="204"/>
      <x:c r="E29" s="204"/>
      <x:c r="F29" s="203" t="str">
        <x:v>Zhao 2023 tandem</x:v>
      </x:c>
      <x:c r="G29" s="203" t="str">
        <x:v>694/694 es 1 por construccion del patron de referencia; no es evidencia independiente de especificidad.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3c42e353a7004d8b"/>
  </x:tableParts>
</x:worksheet>
</file>